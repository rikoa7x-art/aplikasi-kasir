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📊 Dashboard" sheetId="1" r:id="rId1"/>
    <sheet name="📈 Penjualan" sheetId="2" r:id="rId2"/>
    <sheet name="💰 Kas &amp; Bank" sheetId="3" r:id="rId3"/>
    <sheet name="📦 Pembelian Bahan" sheetId="4" r:id="rId4"/>
    <sheet name="⚙️ Produksi" sheetId="5" r:id="rId5"/>
    <sheet name="👥 Piutang Pelanggan" sheetId="6" r:id="rId6"/>
    <sheet name="🏢 Hutang Supplier" sheetId="7" r:id="rId7"/>
    <sheet name="💼 Beban Operasional" sheetId="8" r:id="rId8"/>
    <sheet name="📋 Laporan Laba Rugi" sheetId="9" r:id="rId9"/>
    <sheet name="🏦 Neraca" sheetId="10" r:id="rId10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0"/>
  <c r="C6"/>
  <c r="C5"/>
  <c r="D25" i="9"/>
  <c r="D24"/>
  <c r="D23"/>
  <c r="F15" i="10" s="1"/>
  <c r="F16" s="1"/>
  <c r="D22" i="9"/>
  <c r="D21"/>
  <c r="D20"/>
  <c r="D19"/>
  <c r="D13"/>
  <c r="D10"/>
  <c r="D24" i="8"/>
  <c r="D23"/>
  <c r="D22"/>
  <c r="D21"/>
  <c r="D20"/>
  <c r="D19"/>
  <c r="D18"/>
  <c r="E15"/>
  <c r="E23" s="1"/>
  <c r="F8" i="7"/>
  <c r="E8"/>
  <c r="G7"/>
  <c r="G6"/>
  <c r="G5"/>
  <c r="G4"/>
  <c r="G3"/>
  <c r="G8" s="1"/>
  <c r="F5" i="10" s="1"/>
  <c r="F8" i="6"/>
  <c r="E8"/>
  <c r="G7"/>
  <c r="G6"/>
  <c r="G5"/>
  <c r="G4"/>
  <c r="G3"/>
  <c r="G8" s="1"/>
  <c r="C7" i="10" s="1"/>
  <c r="K8" i="5"/>
  <c r="H8"/>
  <c r="G8"/>
  <c r="D12" i="9" s="1"/>
  <c r="F8" i="5"/>
  <c r="D11" i="9" s="1"/>
  <c r="E8" i="5"/>
  <c r="D8"/>
  <c r="L7"/>
  <c r="J7"/>
  <c r="I7"/>
  <c r="I6"/>
  <c r="J6" s="1"/>
  <c r="I5"/>
  <c r="J5" s="1"/>
  <c r="L4"/>
  <c r="I4"/>
  <c r="J4" s="1"/>
  <c r="L3"/>
  <c r="J3"/>
  <c r="I3"/>
  <c r="I8" s="1"/>
  <c r="I9" i="4"/>
  <c r="I8"/>
  <c r="I7"/>
  <c r="I6"/>
  <c r="I5"/>
  <c r="I4"/>
  <c r="I3"/>
  <c r="I10" s="1"/>
  <c r="G14" i="3"/>
  <c r="F14"/>
  <c r="I13"/>
  <c r="I12"/>
  <c r="I11"/>
  <c r="I10"/>
  <c r="I9"/>
  <c r="I8"/>
  <c r="I7"/>
  <c r="I6"/>
  <c r="I5"/>
  <c r="I4"/>
  <c r="H4"/>
  <c r="H5" s="1"/>
  <c r="H6" s="1"/>
  <c r="H7" s="1"/>
  <c r="H8" s="1"/>
  <c r="H9" s="1"/>
  <c r="H10" s="1"/>
  <c r="H11" s="1"/>
  <c r="H12" s="1"/>
  <c r="H13" s="1"/>
  <c r="G13" i="2"/>
  <c r="F13"/>
  <c r="I12"/>
  <c r="H12"/>
  <c r="J12" s="1"/>
  <c r="I11"/>
  <c r="H11"/>
  <c r="J11" s="1"/>
  <c r="H10"/>
  <c r="J9"/>
  <c r="I9"/>
  <c r="H9"/>
  <c r="I8"/>
  <c r="J8" s="1"/>
  <c r="H8"/>
  <c r="H7"/>
  <c r="I7" s="1"/>
  <c r="H6"/>
  <c r="H5"/>
  <c r="I5" s="1"/>
  <c r="J5" s="1"/>
  <c r="I4"/>
  <c r="J4" s="1"/>
  <c r="H4"/>
  <c r="H3"/>
  <c r="H13" s="1"/>
  <c r="D5" i="9" s="1"/>
  <c r="D7" s="1"/>
  <c r="I7" i="1"/>
  <c r="G7"/>
  <c r="E7"/>
  <c r="C7"/>
  <c r="A7"/>
  <c r="J10" i="2" l="1"/>
  <c r="C10" i="10"/>
  <c r="C18" s="1"/>
  <c r="J6" i="2"/>
  <c r="D14" i="9"/>
  <c r="D16" s="1"/>
  <c r="I6" i="2"/>
  <c r="J7"/>
  <c r="I10"/>
  <c r="I3"/>
  <c r="L5" i="5"/>
  <c r="E18" i="8"/>
  <c r="E20"/>
  <c r="E22"/>
  <c r="E24"/>
  <c r="D26" i="9"/>
  <c r="L6" i="5"/>
  <c r="E19" i="8"/>
  <c r="E21"/>
  <c r="D28" i="9" l="1"/>
  <c r="I13" i="2"/>
  <c r="F6" i="10" s="1"/>
  <c r="F10" s="1"/>
  <c r="F18" s="1"/>
  <c r="J3" i="2"/>
  <c r="J13" s="1"/>
</calcChain>
</file>

<file path=xl/sharedStrings.xml><?xml version="1.0" encoding="utf-8"?>
<sst xmlns="http://schemas.openxmlformats.org/spreadsheetml/2006/main" count="423" uniqueCount="285">
  <si>
    <t>🖨️ MANAJEMEN KEUANGAN - PERCETAKAN SABLON KAOS</t>
  </si>
  <si>
    <t>Template Keuangan | Periode: Isi Bulan/Tahun</t>
  </si>
  <si>
    <t>RINGKASAN KEUANGAN BULAN INI</t>
  </si>
  <si>
    <t>Total Pendapatan</t>
  </si>
  <si>
    <t>Total HPP</t>
  </si>
  <si>
    <t>Laba Kotor</t>
  </si>
  <si>
    <t>Total Beban</t>
  </si>
  <si>
    <t>Laba Bersih</t>
  </si>
  <si>
    <t>NAVIGASI SHEET</t>
  </si>
  <si>
    <t>📈 Penjualan</t>
  </si>
  <si>
    <t>Catat semua transaksi penjualan &amp; order</t>
  </si>
  <si>
    <t>💰 Kas &amp; Bank</t>
  </si>
  <si>
    <t>Mutasi kas harian dan saldo bank</t>
  </si>
  <si>
    <t>📦 Pembelian Bahan</t>
  </si>
  <si>
    <t>Pembelian bahan baku &amp; supplies</t>
  </si>
  <si>
    <t>⚙️ Produksi</t>
  </si>
  <si>
    <t>HPP dan biaya produksi per order</t>
  </si>
  <si>
    <t>👥 Piutang Pelanggan</t>
  </si>
  <si>
    <t>Tagihan &amp; status pembayaran pelanggan</t>
  </si>
  <si>
    <t>🏢 Hutang Supplier</t>
  </si>
  <si>
    <t>Hutang &amp; jatuh tempo ke supplier</t>
  </si>
  <si>
    <t>💼 Beban Operasional</t>
  </si>
  <si>
    <t>Gaji, sewa, utilitas, dll.</t>
  </si>
  <si>
    <t>📋 Laporan Laba Rugi</t>
  </si>
  <si>
    <t>Laporan Laba Rugi bulanan</t>
  </si>
  <si>
    <t>🏦 Neraca</t>
  </si>
  <si>
    <t>Posisi keuangan perusahaan</t>
  </si>
  <si>
    <t>📈 CATATAN PENJUALAN &amp; ORDER</t>
  </si>
  <si>
    <t>No</t>
  </si>
  <si>
    <t>Tgl Order</t>
  </si>
  <si>
    <t>No. Invoice</t>
  </si>
  <si>
    <t>Nama Pelanggan</t>
  </si>
  <si>
    <t>Jenis Produk</t>
  </si>
  <si>
    <t>Qty (pcs)</t>
  </si>
  <si>
    <t>Harga Satuan
(Rp)</t>
  </si>
  <si>
    <t>Total Harga
(Rp)</t>
  </si>
  <si>
    <t>DP Diterima
(Rp)</t>
  </si>
  <si>
    <t>Sisa Tagihan
(Rp)</t>
  </si>
  <si>
    <t>Tgl Lunas</t>
  </si>
  <si>
    <t>Status</t>
  </si>
  <si>
    <t>Keterangan</t>
  </si>
  <si>
    <t>INV-2025-001</t>
  </si>
  <si>
    <t>CV Maju Bersama</t>
  </si>
  <si>
    <t>Kaos Sablon Manual</t>
  </si>
  <si>
    <t>LUNAS</t>
  </si>
  <si>
    <t>INV-2025-002</t>
  </si>
  <si>
    <t>Toko Seragam Jaya</t>
  </si>
  <si>
    <t>Kaos DTF</t>
  </si>
  <si>
    <t>DP 50%</t>
  </si>
  <si>
    <t>INV-2025-003</t>
  </si>
  <si>
    <t>PT Abadi Karya</t>
  </si>
  <si>
    <t>Kaos DTG</t>
  </si>
  <si>
    <t>BELUM BAYAR</t>
  </si>
  <si>
    <t>INV-2025-004</t>
  </si>
  <si>
    <t>Yayasan Bakti</t>
  </si>
  <si>
    <t>Polo Bordir</t>
  </si>
  <si>
    <t>INV-2025-005</t>
  </si>
  <si>
    <t>Koperasi Sejahtera</t>
  </si>
  <si>
    <t>Kaos Polos</t>
  </si>
  <si>
    <t>INV-2025-006</t>
  </si>
  <si>
    <t>INV-2025-007</t>
  </si>
  <si>
    <t>INV-2025-008</t>
  </si>
  <si>
    <t>INV-2025-009</t>
  </si>
  <si>
    <t>INV-2025-010</t>
  </si>
  <si>
    <t>TOTAL</t>
  </si>
  <si>
    <t>💰 BUKU KAS &amp; BANK</t>
  </si>
  <si>
    <t>SALDO AWAL</t>
  </si>
  <si>
    <t>Kas Tunai (Rp)</t>
  </si>
  <si>
    <t>Bank (Rp)</t>
  </si>
  <si>
    <t>Tanggal</t>
  </si>
  <si>
    <t>Kategori</t>
  </si>
  <si>
    <t>Referensi</t>
  </si>
  <si>
    <t>Masuk (Rp)</t>
  </si>
  <si>
    <t>Keluar (Rp)</t>
  </si>
  <si>
    <t>Saldo Kas (Rp)</t>
  </si>
  <si>
    <t>Saldo Bank (Rp)</t>
  </si>
  <si>
    <t>01/01/2025</t>
  </si>
  <si>
    <t>Saldo Awal</t>
  </si>
  <si>
    <t>-</t>
  </si>
  <si>
    <t>02/01/2025</t>
  </si>
  <si>
    <t>Pembayaran Order INV-001</t>
  </si>
  <si>
    <t>Penjualan</t>
  </si>
  <si>
    <t>INV-001</t>
  </si>
  <si>
    <t>03/01/2025</t>
  </si>
  <si>
    <t>Beli Kaos Polos 200 pcs</t>
  </si>
  <si>
    <t>Pembelian Bahan</t>
  </si>
  <si>
    <t>PO-001</t>
  </si>
  <si>
    <t>04/01/2025</t>
  </si>
  <si>
    <t>Beli Tinta Sablon</t>
  </si>
  <si>
    <t>PO-002</t>
  </si>
  <si>
    <t>05/01/2025</t>
  </si>
  <si>
    <t>Gaji Karyawan Jan</t>
  </si>
  <si>
    <t>Gaji</t>
  </si>
  <si>
    <t>GAJ-001</t>
  </si>
  <si>
    <t>06/01/2025</t>
  </si>
  <si>
    <t>Bayar Sewa Tempat</t>
  </si>
  <si>
    <t>Sewa</t>
  </si>
  <si>
    <t>SEW-001</t>
  </si>
  <si>
    <t>07/01/2025</t>
  </si>
  <si>
    <t>DP Order INV-002</t>
  </si>
  <si>
    <t>INV-002</t>
  </si>
  <si>
    <t>08/01/2025</t>
  </si>
  <si>
    <t>Listrik &amp; Air</t>
  </si>
  <si>
    <t>Utilitas</t>
  </si>
  <si>
    <t>UTL-001</t>
  </si>
  <si>
    <t>09/01/2025</t>
  </si>
  <si>
    <t>Bayar Lunas INV-003</t>
  </si>
  <si>
    <t>INV-003</t>
  </si>
  <si>
    <t>10/01/2025</t>
  </si>
  <si>
    <t>Beli Screen Sablon</t>
  </si>
  <si>
    <t>Pembelian Alat</t>
  </si>
  <si>
    <t>PO-003</t>
  </si>
  <si>
    <t>TOTAL PERIODE INI</t>
  </si>
  <si>
    <t>📦 PEMBELIAN BAHAN BAKU &amp; SUPPLIES</t>
  </si>
  <si>
    <t>No. PO</t>
  </si>
  <si>
    <t>Nama Supplier</t>
  </si>
  <si>
    <t>Nama Bahan</t>
  </si>
  <si>
    <t>Qty</t>
  </si>
  <si>
    <t>Satuan</t>
  </si>
  <si>
    <t>Total
(Rp)</t>
  </si>
  <si>
    <t>Jatuh Tempo</t>
  </si>
  <si>
    <t>Status Bayar</t>
  </si>
  <si>
    <t>Supplier Kaos Jaya</t>
  </si>
  <si>
    <t>Kaos Polos Cotton 30s</t>
  </si>
  <si>
    <t>pcs</t>
  </si>
  <si>
    <t>Toko Cat Sablon</t>
  </si>
  <si>
    <t>Tinta Plastisol Hitam</t>
  </si>
  <si>
    <t>kg</t>
  </si>
  <si>
    <t>Tinta Plastisol Putih</t>
  </si>
  <si>
    <t>UD Perlengkapan Cetak</t>
  </si>
  <si>
    <t>Screen/Kasa 43T</t>
  </si>
  <si>
    <t>30/01/2025</t>
  </si>
  <si>
    <t>KREDIT</t>
  </si>
  <si>
    <t>PO-004</t>
  </si>
  <si>
    <t>Kaos Polo Cotton Pique</t>
  </si>
  <si>
    <t>12/01/2025</t>
  </si>
  <si>
    <t>PO-005</t>
  </si>
  <si>
    <t>Toko Packaging</t>
  </si>
  <si>
    <t>Plastik OPP 35x50cm</t>
  </si>
  <si>
    <t>15/01/2025</t>
  </si>
  <si>
    <t>Hangtag Custom</t>
  </si>
  <si>
    <t>TOTAL PEMBELIAN</t>
  </si>
  <si>
    <t>⚙️ BIAYA PRODUKSI &amp; HPP PER ORDER</t>
  </si>
  <si>
    <t>Nama Produk</t>
  </si>
  <si>
    <t>Qty
(pcs)</t>
  </si>
  <si>
    <t>Bahan Baku
(Rp)</t>
  </si>
  <si>
    <t>Tinta/Film
(Rp)</t>
  </si>
  <si>
    <t>TK Langsung
(Rp)</t>
  </si>
  <si>
    <t>Overhead
(Rp)</t>
  </si>
  <si>
    <t>Total HPP
(Rp)</t>
  </si>
  <si>
    <t>HPP/pcs
(Rp)</t>
  </si>
  <si>
    <t>Harga Jual
(Rp)</t>
  </si>
  <si>
    <t>Margin
(%)</t>
  </si>
  <si>
    <t>Kaos DTF Full Color</t>
  </si>
  <si>
    <t>Kaos Polo Bordir</t>
  </si>
  <si>
    <t>INV-004</t>
  </si>
  <si>
    <t>Kaos Polos Printing</t>
  </si>
  <si>
    <t>INV-005</t>
  </si>
  <si>
    <t>Kaos Event Sablon 2 Warna</t>
  </si>
  <si>
    <t>👥 KARTU PIUTANG PELANGGAN</t>
  </si>
  <si>
    <t>Tgl Invoice</t>
  </si>
  <si>
    <t>Total Tagihan
(Rp)</t>
  </si>
  <si>
    <t>DP/Bayar
(Rp)</t>
  </si>
  <si>
    <t>Sisa Piutang
(Rp)</t>
  </si>
  <si>
    <t>Status / Umur Piutang</t>
  </si>
  <si>
    <t>20/01/2025</t>
  </si>
  <si>
    <t>SEBAGIAN</t>
  </si>
  <si>
    <t>21/01/2025</t>
  </si>
  <si>
    <t>25/01/2025</t>
  </si>
  <si>
    <t>TOTAL PIUTANG</t>
  </si>
  <si>
    <t>🏢 KARTU HUTANG SUPPLIER</t>
  </si>
  <si>
    <t>Tgl PO</t>
  </si>
  <si>
    <t>Total Hutang
(Rp)</t>
  </si>
  <si>
    <t>Sudah Dibayar
(Rp)</t>
  </si>
  <si>
    <t>Sisa Hutang
(Rp)</t>
  </si>
  <si>
    <t>16/01/2025</t>
  </si>
  <si>
    <t>18/01/2025</t>
  </si>
  <si>
    <t>22/01/2025</t>
  </si>
  <si>
    <t>24/01/2025</t>
  </si>
  <si>
    <t>26/01/2025</t>
  </si>
  <si>
    <t>TOTAL HUTANG</t>
  </si>
  <si>
    <t>💼 BEBAN OPERASIONAL BULANAN</t>
  </si>
  <si>
    <t>Jumlah (Rp)</t>
  </si>
  <si>
    <t>Bukti/Ref</t>
  </si>
  <si>
    <t>Gaji Karyawan Produksi (5 org)</t>
  </si>
  <si>
    <t>Gaji &amp; Upah</t>
  </si>
  <si>
    <t>BKT-001</t>
  </si>
  <si>
    <t>Gaji Admin &amp; Marketing</t>
  </si>
  <si>
    <t>BKT-002</t>
  </si>
  <si>
    <t>Sewa Tempat Usaha</t>
  </si>
  <si>
    <t>BKT-003</t>
  </si>
  <si>
    <t>Tagihan Listrik</t>
  </si>
  <si>
    <t>BKT-004</t>
  </si>
  <si>
    <t>Tagihan Air</t>
  </si>
  <si>
    <t>BKT-005</t>
  </si>
  <si>
    <t>Iklan Media Sosial</t>
  </si>
  <si>
    <t>Pemasaran</t>
  </si>
  <si>
    <t>BKT-006</t>
  </si>
  <si>
    <t>Ongkir Sampel ke Pelanggan</t>
  </si>
  <si>
    <t>BKT-007</t>
  </si>
  <si>
    <t>ATK &amp; Perlengkapan Kantor</t>
  </si>
  <si>
    <t>Administrasi</t>
  </si>
  <si>
    <t>BKT-008</t>
  </si>
  <si>
    <t>Biaya Transfer Bank</t>
  </si>
  <si>
    <t>BKT-009</t>
  </si>
  <si>
    <t>Perawatan Mesin Press</t>
  </si>
  <si>
    <t>Pemeliharaan</t>
  </si>
  <si>
    <t>BKT-010</t>
  </si>
  <si>
    <t>28/01/2025</t>
  </si>
  <si>
    <t>Internet &amp; Telepon</t>
  </si>
  <si>
    <t>BKT-011</t>
  </si>
  <si>
    <t>Transportasi &amp; BBM</t>
  </si>
  <si>
    <t>Operasional</t>
  </si>
  <si>
    <t>BKT-012</t>
  </si>
  <si>
    <t>TOTAL BEBAN OPERASIONAL</t>
  </si>
  <si>
    <t>REKAP PER KATEGORI</t>
  </si>
  <si>
    <t>Total (Rp)</t>
  </si>
  <si>
    <t>% dari Total</t>
  </si>
  <si>
    <t>📋 LAPORAN LABA RUGI</t>
  </si>
  <si>
    <t>Periode: Januari 2025</t>
  </si>
  <si>
    <t>I. PENDAPATAN</t>
  </si>
  <si>
    <t xml:space="preserve">  Pendapatan Penjualan</t>
  </si>
  <si>
    <t xml:space="preserve">  Diskon Penjualan</t>
  </si>
  <si>
    <t xml:space="preserve">  Total Pendapatan Bersih</t>
  </si>
  <si>
    <t>II. HARGA POKOK PENJUALAN (HPP)</t>
  </si>
  <si>
    <t xml:space="preserve">  Bahan Baku</t>
  </si>
  <si>
    <t xml:space="preserve">  Tinta / Film</t>
  </si>
  <si>
    <t xml:space="preserve">  Tenaga Kerja Langsung</t>
  </si>
  <si>
    <t xml:space="preserve">  Overhead Pabrik</t>
  </si>
  <si>
    <t xml:space="preserve">  Total HPP</t>
  </si>
  <si>
    <t>LABA KOTOR</t>
  </si>
  <si>
    <t>III. BEBAN OPERASIONAL</t>
  </si>
  <si>
    <t xml:space="preserve">  Gaji &amp; Upah</t>
  </si>
  <si>
    <t xml:space="preserve">  Sewa</t>
  </si>
  <si>
    <t xml:space="preserve">  Utilitas</t>
  </si>
  <si>
    <t xml:space="preserve">  Pemasaran</t>
  </si>
  <si>
    <t xml:space="preserve">  Administrasi</t>
  </si>
  <si>
    <t xml:space="preserve">  Pemeliharaan</t>
  </si>
  <si>
    <t xml:space="preserve">  Operasional</t>
  </si>
  <si>
    <t xml:space="preserve">  Total Beban Operasional</t>
  </si>
  <si>
    <t>LABA BERSIH SEBELUM PAJAK</t>
  </si>
  <si>
    <t>🏦 NERACA (BALANCE SHEET)</t>
  </si>
  <si>
    <t>Per 31 Januari 2025</t>
  </si>
  <si>
    <t>ASET</t>
  </si>
  <si>
    <t>LIABILITAS &amp; EKUITAS</t>
  </si>
  <si>
    <t>Aset Lancar</t>
  </si>
  <si>
    <t>Liabilitas Lancar</t>
  </si>
  <si>
    <t>1.1</t>
  </si>
  <si>
    <t>Kas Tunai</t>
  </si>
  <si>
    <t>3.1</t>
  </si>
  <si>
    <t>Hutang Usaha (Supplier)</t>
  </si>
  <si>
    <t>1.2</t>
  </si>
  <si>
    <t>Kas di Bank</t>
  </si>
  <si>
    <t>3.2</t>
  </si>
  <si>
    <t>Uang Muka Pelanggan</t>
  </si>
  <si>
    <t>1.3</t>
  </si>
  <si>
    <t>Piutang Usaha</t>
  </si>
  <si>
    <t>3.3</t>
  </si>
  <si>
    <t>Hutang Pajak</t>
  </si>
  <si>
    <t>1.4</t>
  </si>
  <si>
    <t>Persediaan Bahan Baku</t>
  </si>
  <si>
    <t>3.4</t>
  </si>
  <si>
    <t>Biaya Yang Masih Harus Dibayar</t>
  </si>
  <si>
    <t>1.5</t>
  </si>
  <si>
    <t>Persediaan Barang Jadi</t>
  </si>
  <si>
    <t>Total Aset Lancar</t>
  </si>
  <si>
    <t>Total Liabilitas Lancar</t>
  </si>
  <si>
    <t>Aset Tetap</t>
  </si>
  <si>
    <t>Ekuitas</t>
  </si>
  <si>
    <t>2.1</t>
  </si>
  <si>
    <t>Mesin &amp; Peralatan</t>
  </si>
  <si>
    <t>4.1</t>
  </si>
  <si>
    <t>Modal Disetor</t>
  </si>
  <si>
    <t>2.2</t>
  </si>
  <si>
    <t>Akumulasi Penyusutan</t>
  </si>
  <si>
    <t>4.2</t>
  </si>
  <si>
    <t>Laba Ditahan</t>
  </si>
  <si>
    <t>2.3</t>
  </si>
  <si>
    <t>Inventaris Kantor</t>
  </si>
  <si>
    <t>4.3</t>
  </si>
  <si>
    <t>Laba Berjalan (dari L/R)</t>
  </si>
  <si>
    <t>Total Aset Tetap (Net)</t>
  </si>
  <si>
    <t>Total Ekuitas</t>
  </si>
  <si>
    <t>TOTAL ASET</t>
  </si>
  <si>
    <t>TOTAL LIABILITAS + EKUITAS</t>
  </si>
</sst>
</file>

<file path=xl/styles.xml><?xml version="1.0" encoding="utf-8"?>
<styleSheet xmlns="http://schemas.openxmlformats.org/spreadsheetml/2006/main">
  <numFmts count="3">
    <numFmt numFmtId="164" formatCode="#,##0;\(#,##0\);\-"/>
    <numFmt numFmtId="165" formatCode="yyyy\-mm\-dd"/>
    <numFmt numFmtId="166" formatCode="0.0%;\-0.0%;\-"/>
  </numFmts>
  <fonts count="23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3"/>
      <color rgb="FF2E75B6"/>
      <name val="Arial"/>
      <charset val="1"/>
    </font>
    <font>
      <b/>
      <sz val="13"/>
      <color rgb="FFC0392B"/>
      <name val="Arial"/>
      <charset val="1"/>
    </font>
    <font>
      <b/>
      <sz val="13"/>
      <color rgb="FF1E8449"/>
      <name val="Arial"/>
      <charset val="1"/>
    </font>
    <font>
      <b/>
      <sz val="13"/>
      <color rgb="FFE67E22"/>
      <name val="Arial"/>
      <charset val="1"/>
    </font>
    <font>
      <b/>
      <sz val="10"/>
      <color rgb="FF1A1A1A"/>
      <name val="Arial"/>
      <charset val="1"/>
    </font>
    <font>
      <b/>
      <sz val="10"/>
      <color rgb="FF2E75B6"/>
      <name val="Arial"/>
      <charset val="1"/>
    </font>
    <font>
      <sz val="10"/>
      <color rgb="FF1A1A1A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1E8449"/>
      <name val="Arial"/>
      <charset val="1"/>
    </font>
    <font>
      <b/>
      <sz val="10"/>
      <color rgb="FFE67E22"/>
      <name val="Arial"/>
      <charset val="1"/>
    </font>
    <font>
      <b/>
      <sz val="10"/>
      <color rgb="FFC0392B"/>
      <name val="Arial"/>
      <charset val="1"/>
    </font>
    <font>
      <b/>
      <sz val="12"/>
      <color rgb="FFFFFFFF"/>
      <name val="Arial"/>
      <charset val="1"/>
    </font>
    <font>
      <b/>
      <sz val="10"/>
      <color rgb="FF0000FF"/>
      <name val="Arial"/>
      <charset val="1"/>
    </font>
    <font>
      <b/>
      <sz val="10"/>
      <color rgb="FF7D3C98"/>
      <name val="Arial"/>
      <charset val="1"/>
    </font>
    <font>
      <b/>
      <sz val="10"/>
      <color rgb="FF555555"/>
      <name val="Arial"/>
      <charset val="1"/>
    </font>
    <font>
      <b/>
      <sz val="10"/>
      <color rgb="FFB7950B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75B6"/>
        <bgColor rgb="FF2980B9"/>
      </patternFill>
    </fill>
    <fill>
      <patternFill patternType="solid">
        <fgColor rgb="FFC0392B"/>
        <bgColor rgb="FFE74C3C"/>
      </patternFill>
    </fill>
    <fill>
      <patternFill patternType="solid">
        <fgColor rgb="FF1E8449"/>
        <bgColor rgb="FF008000"/>
      </patternFill>
    </fill>
    <fill>
      <patternFill patternType="solid">
        <fgColor rgb="FFE67E22"/>
        <bgColor rgb="FFB7950B"/>
      </patternFill>
    </fill>
    <fill>
      <patternFill patternType="solid">
        <fgColor rgb="FFD6E4F0"/>
        <bgColor rgb="FFE8DAEF"/>
      </patternFill>
    </fill>
    <fill>
      <patternFill patternType="solid">
        <fgColor rgb="FFFADBD8"/>
        <bgColor rgb="FFE8DAEF"/>
      </patternFill>
    </fill>
    <fill>
      <patternFill patternType="solid">
        <fgColor rgb="FFD5F5E3"/>
        <bgColor rgb="FFD6E4F0"/>
      </patternFill>
    </fill>
    <fill>
      <patternFill patternType="solid">
        <fgColor rgb="FFFDEBD0"/>
        <bgColor rgb="FFFFF2CC"/>
      </patternFill>
    </fill>
    <fill>
      <patternFill patternType="solid">
        <fgColor rgb="FFF2F2F2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FFF2CC"/>
        <bgColor rgb="FFFDEBD0"/>
      </patternFill>
    </fill>
    <fill>
      <patternFill patternType="solid">
        <fgColor rgb="FFE8DAEF"/>
        <bgColor rgb="FFFADBD8"/>
      </patternFill>
    </fill>
    <fill>
      <patternFill patternType="solid">
        <fgColor rgb="FFFEF9E7"/>
        <b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7" fillId="9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10" borderId="0" xfId="0" applyFill="1" applyBorder="1"/>
    <xf numFmtId="0" fontId="0" fillId="9" borderId="0" xfId="0" applyFill="1" applyBorder="1"/>
    <xf numFmtId="0" fontId="0" fillId="8" borderId="0" xfId="0" applyFill="1" applyBorder="1"/>
    <xf numFmtId="0" fontId="0" fillId="7" borderId="0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/>
    </xf>
    <xf numFmtId="165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3" fontId="14" fillId="13" borderId="2" xfId="0" applyNumberFormat="1" applyFont="1" applyFill="1" applyBorder="1" applyAlignment="1">
      <alignment horizontal="right"/>
    </xf>
    <xf numFmtId="164" fontId="14" fillId="13" borderId="2" xfId="0" applyNumberFormat="1" applyFont="1" applyFill="1" applyBorder="1" applyAlignment="1">
      <alignment horizontal="right"/>
    </xf>
    <xf numFmtId="164" fontId="11" fillId="11" borderId="2" xfId="0" applyNumberFormat="1" applyFont="1" applyFill="1" applyBorder="1" applyAlignment="1">
      <alignment horizontal="right"/>
    </xf>
    <xf numFmtId="0" fontId="15" fillId="9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5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164" fontId="11" fillId="12" borderId="2" xfId="0" applyNumberFormat="1" applyFont="1" applyFill="1" applyBorder="1" applyAlignment="1">
      <alignment horizontal="right"/>
    </xf>
    <xf numFmtId="0" fontId="16" fillId="10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164" fontId="1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/>
    </xf>
    <xf numFmtId="164" fontId="19" fillId="13" borderId="2" xfId="0" applyNumberFormat="1" applyFont="1" applyFill="1" applyBorder="1" applyAlignment="1">
      <alignment horizontal="right"/>
    </xf>
    <xf numFmtId="164" fontId="10" fillId="7" borderId="2" xfId="0" applyNumberFormat="1" applyFont="1" applyFill="1" applyBorder="1" applyAlignment="1">
      <alignment horizontal="right"/>
    </xf>
    <xf numFmtId="164" fontId="15" fillId="9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49" fontId="14" fillId="13" borderId="2" xfId="0" applyNumberFormat="1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/>
    </xf>
    <xf numFmtId="164" fontId="17" fillId="8" borderId="2" xfId="0" applyNumberFormat="1" applyFont="1" applyFill="1" applyBorder="1" applyAlignment="1">
      <alignment horizontal="right"/>
    </xf>
    <xf numFmtId="166" fontId="15" fillId="9" borderId="2" xfId="0" applyNumberFormat="1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164" fontId="16" fillId="10" borderId="2" xfId="0" applyNumberFormat="1" applyFont="1" applyFill="1" applyBorder="1" applyAlignment="1">
      <alignment horizontal="right"/>
    </xf>
    <xf numFmtId="0" fontId="1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center"/>
    </xf>
    <xf numFmtId="0" fontId="21" fillId="11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/>
    </xf>
    <xf numFmtId="0" fontId="22" fillId="1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66" fontId="11" fillId="7" borderId="2" xfId="0" applyNumberFormat="1" applyFont="1" applyFill="1" applyBorder="1" applyAlignment="1">
      <alignment horizontal="center"/>
    </xf>
    <xf numFmtId="0" fontId="0" fillId="7" borderId="2" xfId="0" applyFill="1" applyBorder="1"/>
    <xf numFmtId="166" fontId="11" fillId="8" borderId="2" xfId="0" applyNumberFormat="1" applyFont="1" applyFill="1" applyBorder="1" applyAlignment="1">
      <alignment horizontal="center"/>
    </xf>
    <xf numFmtId="0" fontId="0" fillId="8" borderId="2" xfId="0" applyFill="1" applyBorder="1"/>
    <xf numFmtId="166" fontId="11" fillId="10" borderId="2" xfId="0" applyNumberFormat="1" applyFont="1" applyFill="1" applyBorder="1" applyAlignment="1">
      <alignment horizontal="center"/>
    </xf>
    <xf numFmtId="0" fontId="0" fillId="10" borderId="2" xfId="0" applyFill="1" applyBorder="1"/>
    <xf numFmtId="164" fontId="20" fillId="14" borderId="2" xfId="0" applyNumberFormat="1" applyFont="1" applyFill="1" applyBorder="1" applyAlignment="1">
      <alignment horizontal="right"/>
    </xf>
    <xf numFmtId="166" fontId="11" fillId="14" borderId="2" xfId="0" applyNumberFormat="1" applyFont="1" applyFill="1" applyBorder="1" applyAlignment="1">
      <alignment horizontal="center"/>
    </xf>
    <xf numFmtId="0" fontId="0" fillId="14" borderId="2" xfId="0" applyFill="1" applyBorder="1"/>
    <xf numFmtId="164" fontId="21" fillId="11" borderId="2" xfId="0" applyNumberFormat="1" applyFont="1" applyFill="1" applyBorder="1" applyAlignment="1">
      <alignment horizontal="right"/>
    </xf>
    <xf numFmtId="166" fontId="11" fillId="11" borderId="2" xfId="0" applyNumberFormat="1" applyFont="1" applyFill="1" applyBorder="1" applyAlignment="1">
      <alignment horizontal="center"/>
    </xf>
    <xf numFmtId="0" fontId="0" fillId="11" borderId="2" xfId="0" applyFill="1" applyBorder="1"/>
    <xf numFmtId="166" fontId="11" fillId="9" borderId="2" xfId="0" applyNumberFormat="1" applyFont="1" applyFill="1" applyBorder="1" applyAlignment="1">
      <alignment horizontal="center"/>
    </xf>
    <xf numFmtId="0" fontId="0" fillId="9" borderId="2" xfId="0" applyFill="1" applyBorder="1"/>
    <xf numFmtId="164" fontId="22" fillId="15" borderId="2" xfId="0" applyNumberFormat="1" applyFont="1" applyFill="1" applyBorder="1" applyAlignment="1">
      <alignment horizontal="right"/>
    </xf>
    <xf numFmtId="166" fontId="11" fillId="15" borderId="2" xfId="0" applyNumberFormat="1" applyFont="1" applyFill="1" applyBorder="1" applyAlignment="1">
      <alignment horizontal="center"/>
    </xf>
    <xf numFmtId="0" fontId="0" fillId="15" borderId="2" xfId="0" applyFill="1" applyBorder="1"/>
    <xf numFmtId="164" fontId="14" fillId="11" borderId="2" xfId="0" applyNumberFormat="1" applyFont="1" applyFill="1" applyBorder="1" applyAlignment="1">
      <alignment horizontal="right"/>
    </xf>
    <xf numFmtId="0" fontId="10" fillId="7" borderId="2" xfId="0" applyFont="1" applyFill="1" applyBorder="1"/>
    <xf numFmtId="0" fontId="17" fillId="8" borderId="2" xfId="0" applyFont="1" applyFill="1" applyBorder="1"/>
    <xf numFmtId="164" fontId="3" fillId="5" borderId="2" xfId="0" applyNumberFormat="1" applyFont="1" applyFill="1" applyBorder="1" applyAlignment="1">
      <alignment horizontal="right"/>
    </xf>
    <xf numFmtId="0" fontId="0" fillId="5" borderId="2" xfId="0" applyFill="1" applyBorder="1"/>
    <xf numFmtId="0" fontId="16" fillId="10" borderId="2" xfId="0" applyFont="1" applyFill="1" applyBorder="1"/>
    <xf numFmtId="164" fontId="18" fillId="2" borderId="2" xfId="0" applyNumberFormat="1" applyFont="1" applyFill="1" applyBorder="1" applyAlignment="1">
      <alignment horizontal="right"/>
    </xf>
    <xf numFmtId="0" fontId="0" fillId="2" borderId="2" xfId="0" applyFill="1" applyBorder="1"/>
    <xf numFmtId="0" fontId="11" fillId="7" borderId="2" xfId="0" applyFont="1" applyFill="1" applyBorder="1" applyAlignment="1">
      <alignment horizontal="center"/>
    </xf>
    <xf numFmtId="164" fontId="11" fillId="7" borderId="2" xfId="0" applyNumberFormat="1" applyFont="1" applyFill="1" applyBorder="1" applyAlignment="1">
      <alignment horizontal="right"/>
    </xf>
    <xf numFmtId="0" fontId="0" fillId="12" borderId="2" xfId="0" applyFill="1" applyBorder="1"/>
    <xf numFmtId="0" fontId="15" fillId="9" borderId="2" xfId="0" applyFont="1" applyFill="1" applyBorder="1"/>
    <xf numFmtId="164" fontId="8" fillId="10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left" vertical="center"/>
    </xf>
    <xf numFmtId="0" fontId="21" fillId="11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22" fillId="1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E8449"/>
      <rgbColor rgb="FFBBBBBB"/>
      <rgbColor rgb="FF888888"/>
      <rgbColor rgb="FF9999FF"/>
      <rgbColor rgb="FF7D3C98"/>
      <rgbColor rgb="FFFFF2CC"/>
      <rgbColor rgb="FFD6E4F0"/>
      <rgbColor rgb="FF660066"/>
      <rgbColor rgb="FFE74C3C"/>
      <rgbColor rgb="FF2980B9"/>
      <rgbColor rgb="FFE8DAEF"/>
      <rgbColor rgb="FF000080"/>
      <rgbColor rgb="FFFF00FF"/>
      <rgbColor rgb="FFFFFF00"/>
      <rgbColor rgb="FF00FFFF"/>
      <rgbColor rgb="FF800080"/>
      <rgbColor rgb="FF800000"/>
      <rgbColor rgb="FF16A085"/>
      <rgbColor rgb="FF0000FF"/>
      <rgbColor rgb="FF00CCFF"/>
      <rgbColor rgb="FFF2F2F2"/>
      <rgbColor rgb="FFD5F5E3"/>
      <rgbColor rgb="FFFDEBD0"/>
      <rgbColor rgb="FFFEF9E7"/>
      <rgbColor rgb="FFFF99CC"/>
      <rgbColor rgb="FFCC99FF"/>
      <rgbColor rgb="FFFADBD8"/>
      <rgbColor rgb="FF2E75B6"/>
      <rgbColor rgb="FF33CCCC"/>
      <rgbColor rgb="FF99CC00"/>
      <rgbColor rgb="FFFFCC00"/>
      <rgbColor rgb="FFD35400"/>
      <rgbColor rgb="FFE67E22"/>
      <rgbColor rgb="FF555555"/>
      <rgbColor rgb="FF969696"/>
      <rgbColor rgb="FF1F3864"/>
      <rgbColor rgb="FF27AE60"/>
      <rgbColor rgb="FF003300"/>
      <rgbColor rgb="FF1A1A1A"/>
      <rgbColor rgb="FFC0392B"/>
      <rgbColor rgb="FF8E44AD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J18"/>
  <sheetViews>
    <sheetView showGridLines="0" tabSelected="1" workbookViewId="0">
      <pane ySplit="2" topLeftCell="A3" activePane="bottomLeft" state="frozen"/>
      <selection pane="bottomLeft" sqref="A1:J1"/>
    </sheetView>
  </sheetViews>
  <sheetFormatPr defaultColWidth="8.7109375" defaultRowHeight="15"/>
  <cols>
    <col min="1" max="1" width="22" customWidth="1"/>
    <col min="2" max="10" width="20" customWidth="1"/>
  </cols>
  <sheetData>
    <row r="1" spans="1:10" ht="39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9.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>
      <c r="A5" s="11" t="s">
        <v>3</v>
      </c>
      <c r="B5" s="11"/>
      <c r="C5" s="10" t="s">
        <v>4</v>
      </c>
      <c r="D5" s="10"/>
      <c r="E5" s="9" t="s">
        <v>5</v>
      </c>
      <c r="F5" s="9"/>
      <c r="G5" s="8" t="s">
        <v>6</v>
      </c>
      <c r="H5" s="8"/>
      <c r="I5" s="9" t="s">
        <v>7</v>
      </c>
      <c r="J5" s="9"/>
    </row>
    <row r="6" spans="1:10" ht="7.5" customHeight="1">
      <c r="A6" s="7"/>
      <c r="B6" s="7"/>
      <c r="C6" s="6"/>
      <c r="D6" s="6"/>
      <c r="E6" s="5"/>
      <c r="F6" s="5"/>
      <c r="G6" s="4"/>
      <c r="H6" s="4"/>
      <c r="I6" s="5"/>
      <c r="J6" s="5"/>
    </row>
    <row r="7" spans="1:10" ht="34.5" customHeight="1">
      <c r="A7" s="3">
        <f>'📈 Penjualan'!M3</f>
        <v>0</v>
      </c>
      <c r="B7" s="3"/>
      <c r="C7" s="2">
        <f>'⚙️ Produksi'!J3</f>
        <v>22500</v>
      </c>
      <c r="D7" s="2"/>
      <c r="E7" s="1">
        <f>B7-D7</f>
        <v>0</v>
      </c>
      <c r="F7" s="1"/>
      <c r="G7" s="89">
        <f>'💼 Beban Operasional'!E3</f>
        <v>8000000</v>
      </c>
      <c r="H7" s="89"/>
      <c r="I7" s="1">
        <f>F7-H7</f>
        <v>0</v>
      </c>
      <c r="J7" s="1"/>
    </row>
    <row r="9" spans="1:10">
      <c r="A9" s="90" t="s">
        <v>8</v>
      </c>
      <c r="B9" s="90"/>
      <c r="C9" s="90"/>
      <c r="D9" s="90"/>
      <c r="E9" s="90"/>
      <c r="F9" s="90"/>
      <c r="G9" s="90"/>
      <c r="H9" s="90"/>
      <c r="I9" s="90"/>
      <c r="J9" s="90"/>
    </row>
    <row r="10" spans="1:10" ht="21.75" customHeight="1">
      <c r="A10" s="15" t="s">
        <v>9</v>
      </c>
      <c r="B10" s="91" t="s">
        <v>10</v>
      </c>
      <c r="C10" s="91"/>
      <c r="D10" s="91"/>
      <c r="E10" s="91"/>
      <c r="F10" s="91"/>
      <c r="G10" s="91"/>
      <c r="H10" s="91"/>
      <c r="I10" s="91"/>
      <c r="J10" s="91"/>
    </row>
    <row r="11" spans="1:10" ht="21.75" customHeight="1">
      <c r="A11" s="15" t="s">
        <v>11</v>
      </c>
      <c r="B11" s="91" t="s">
        <v>12</v>
      </c>
      <c r="C11" s="91"/>
      <c r="D11" s="91"/>
      <c r="E11" s="91"/>
      <c r="F11" s="91"/>
      <c r="G11" s="91"/>
      <c r="H11" s="91"/>
      <c r="I11" s="91"/>
      <c r="J11" s="91"/>
    </row>
    <row r="12" spans="1:10" ht="21.75" customHeight="1">
      <c r="A12" s="15" t="s">
        <v>13</v>
      </c>
      <c r="B12" s="91" t="s">
        <v>14</v>
      </c>
      <c r="C12" s="91"/>
      <c r="D12" s="91"/>
      <c r="E12" s="91"/>
      <c r="F12" s="91"/>
      <c r="G12" s="91"/>
      <c r="H12" s="91"/>
      <c r="I12" s="91"/>
      <c r="J12" s="91"/>
    </row>
    <row r="13" spans="1:10" ht="21.75" customHeight="1">
      <c r="A13" s="15" t="s">
        <v>15</v>
      </c>
      <c r="B13" s="91" t="s">
        <v>16</v>
      </c>
      <c r="C13" s="91"/>
      <c r="D13" s="91"/>
      <c r="E13" s="91"/>
      <c r="F13" s="91"/>
      <c r="G13" s="91"/>
      <c r="H13" s="91"/>
      <c r="I13" s="91"/>
      <c r="J13" s="91"/>
    </row>
    <row r="14" spans="1:10" ht="21.75" customHeight="1">
      <c r="A14" s="15" t="s">
        <v>17</v>
      </c>
      <c r="B14" s="91" t="s">
        <v>18</v>
      </c>
      <c r="C14" s="91"/>
      <c r="D14" s="91"/>
      <c r="E14" s="91"/>
      <c r="F14" s="91"/>
      <c r="G14" s="91"/>
      <c r="H14" s="91"/>
      <c r="I14" s="91"/>
      <c r="J14" s="91"/>
    </row>
    <row r="15" spans="1:10" ht="21.75" customHeight="1">
      <c r="A15" s="15" t="s">
        <v>19</v>
      </c>
      <c r="B15" s="91" t="s">
        <v>20</v>
      </c>
      <c r="C15" s="91"/>
      <c r="D15" s="91"/>
      <c r="E15" s="91"/>
      <c r="F15" s="91"/>
      <c r="G15" s="91"/>
      <c r="H15" s="91"/>
      <c r="I15" s="91"/>
      <c r="J15" s="91"/>
    </row>
    <row r="16" spans="1:10" ht="21.75" customHeight="1">
      <c r="A16" s="15" t="s">
        <v>21</v>
      </c>
      <c r="B16" s="91" t="s">
        <v>22</v>
      </c>
      <c r="C16" s="91"/>
      <c r="D16" s="91"/>
      <c r="E16" s="91"/>
      <c r="F16" s="91"/>
      <c r="G16" s="91"/>
      <c r="H16" s="91"/>
      <c r="I16" s="91"/>
      <c r="J16" s="91"/>
    </row>
    <row r="17" spans="1:10" ht="21.75" customHeight="1">
      <c r="A17" s="15" t="s">
        <v>23</v>
      </c>
      <c r="B17" s="91" t="s">
        <v>24</v>
      </c>
      <c r="C17" s="91"/>
      <c r="D17" s="91"/>
      <c r="E17" s="91"/>
      <c r="F17" s="91"/>
      <c r="G17" s="91"/>
      <c r="H17" s="91"/>
      <c r="I17" s="91"/>
      <c r="J17" s="91"/>
    </row>
    <row r="18" spans="1:10" ht="21.75" customHeight="1">
      <c r="A18" s="15" t="s">
        <v>25</v>
      </c>
      <c r="B18" s="91" t="s">
        <v>26</v>
      </c>
      <c r="C18" s="91"/>
      <c r="D18" s="91"/>
      <c r="E18" s="91"/>
      <c r="F18" s="91"/>
      <c r="G18" s="91"/>
      <c r="H18" s="91"/>
      <c r="I18" s="91"/>
      <c r="J18" s="91"/>
    </row>
  </sheetData>
  <mergeCells count="28">
    <mergeCell ref="B14:J14"/>
    <mergeCell ref="B15:J15"/>
    <mergeCell ref="B16:J16"/>
    <mergeCell ref="B17:J17"/>
    <mergeCell ref="B18:J18"/>
    <mergeCell ref="A9:J9"/>
    <mergeCell ref="B10:J10"/>
    <mergeCell ref="B11:J11"/>
    <mergeCell ref="B12:J12"/>
    <mergeCell ref="B13:J13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1:J1"/>
    <mergeCell ref="A2:J2"/>
    <mergeCell ref="A4:J4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AE60"/>
  </sheetPr>
  <dimension ref="A1:M13"/>
  <sheetViews>
    <sheetView showGridLines="0" workbookViewId="0">
      <pane ySplit="2" topLeftCell="A3" activePane="bottomLeft" state="frozen"/>
      <selection pane="bottomLeft" sqref="A1:M1"/>
    </sheetView>
  </sheetViews>
  <sheetFormatPr defaultColWidth="8.7109375" defaultRowHeight="15"/>
  <cols>
    <col min="1" max="1" width="5" customWidth="1"/>
    <col min="2" max="2" width="12" customWidth="1"/>
    <col min="3" max="3" width="14" customWidth="1"/>
    <col min="4" max="4" width="22" customWidth="1"/>
    <col min="5" max="5" width="20" customWidth="1"/>
    <col min="6" max="6" width="10" customWidth="1"/>
    <col min="7" max="10" width="16" customWidth="1"/>
    <col min="11" max="12" width="12" customWidth="1"/>
    <col min="13" max="13" width="20" customWidth="1"/>
  </cols>
  <sheetData>
    <row r="1" spans="1:13" ht="34.5" customHeight="1">
      <c r="A1" s="92" t="s">
        <v>27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3" ht="39.75" customHeight="1">
      <c r="A2" s="16" t="s">
        <v>28</v>
      </c>
      <c r="B2" s="16" t="s">
        <v>29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</row>
    <row r="3" spans="1:13">
      <c r="A3" s="17">
        <v>1</v>
      </c>
      <c r="B3" s="18">
        <v>45658</v>
      </c>
      <c r="C3" s="17" t="s">
        <v>41</v>
      </c>
      <c r="D3" s="19" t="s">
        <v>42</v>
      </c>
      <c r="E3" s="19" t="s">
        <v>43</v>
      </c>
      <c r="F3" s="20">
        <v>50</v>
      </c>
      <c r="G3" s="21">
        <v>35000</v>
      </c>
      <c r="H3" s="22">
        <f t="shared" ref="H3:H12" si="0">F3*G3</f>
        <v>1750000</v>
      </c>
      <c r="I3" s="22">
        <f t="shared" ref="I3:I12" si="1">IF(L3="LUNAS",H3,H3*0.5)</f>
        <v>1750000</v>
      </c>
      <c r="J3" s="22">
        <f t="shared" ref="J3:J12" si="2">H3-I3</f>
        <v>0</v>
      </c>
      <c r="K3" s="18">
        <v>45672</v>
      </c>
      <c r="L3" s="23" t="s">
        <v>44</v>
      </c>
      <c r="M3" s="19"/>
    </row>
    <row r="4" spans="1:13">
      <c r="A4" s="24">
        <v>2</v>
      </c>
      <c r="B4" s="25">
        <v>45659</v>
      </c>
      <c r="C4" s="24" t="s">
        <v>45</v>
      </c>
      <c r="D4" s="26" t="s">
        <v>46</v>
      </c>
      <c r="E4" s="26" t="s">
        <v>47</v>
      </c>
      <c r="F4" s="20">
        <v>100</v>
      </c>
      <c r="G4" s="21">
        <v>40000</v>
      </c>
      <c r="H4" s="27">
        <f t="shared" si="0"/>
        <v>4000000</v>
      </c>
      <c r="I4" s="27">
        <f t="shared" si="1"/>
        <v>2000000</v>
      </c>
      <c r="J4" s="27">
        <f t="shared" si="2"/>
        <v>2000000</v>
      </c>
      <c r="K4" s="24"/>
      <c r="L4" s="28" t="s">
        <v>48</v>
      </c>
      <c r="M4" s="26"/>
    </row>
    <row r="5" spans="1:13">
      <c r="A5" s="17">
        <v>3</v>
      </c>
      <c r="B5" s="18">
        <v>45660</v>
      </c>
      <c r="C5" s="17" t="s">
        <v>49</v>
      </c>
      <c r="D5" s="19" t="s">
        <v>50</v>
      </c>
      <c r="E5" s="19" t="s">
        <v>51</v>
      </c>
      <c r="F5" s="20">
        <v>150</v>
      </c>
      <c r="G5" s="21">
        <v>45000</v>
      </c>
      <c r="H5" s="22">
        <f t="shared" si="0"/>
        <v>6750000</v>
      </c>
      <c r="I5" s="22">
        <f t="shared" si="1"/>
        <v>3375000</v>
      </c>
      <c r="J5" s="22">
        <f t="shared" si="2"/>
        <v>3375000</v>
      </c>
      <c r="K5" s="18">
        <v>45674</v>
      </c>
      <c r="L5" s="29" t="s">
        <v>52</v>
      </c>
      <c r="M5" s="19"/>
    </row>
    <row r="6" spans="1:13">
      <c r="A6" s="24">
        <v>4</v>
      </c>
      <c r="B6" s="25">
        <v>45661</v>
      </c>
      <c r="C6" s="24" t="s">
        <v>53</v>
      </c>
      <c r="D6" s="26" t="s">
        <v>54</v>
      </c>
      <c r="E6" s="26" t="s">
        <v>55</v>
      </c>
      <c r="F6" s="20">
        <v>200</v>
      </c>
      <c r="G6" s="21">
        <v>50000</v>
      </c>
      <c r="H6" s="27">
        <f t="shared" si="0"/>
        <v>10000000</v>
      </c>
      <c r="I6" s="27">
        <f t="shared" si="1"/>
        <v>10000000</v>
      </c>
      <c r="J6" s="27">
        <f t="shared" si="2"/>
        <v>0</v>
      </c>
      <c r="K6" s="24"/>
      <c r="L6" s="23" t="s">
        <v>44</v>
      </c>
      <c r="M6" s="26"/>
    </row>
    <row r="7" spans="1:13">
      <c r="A7" s="17">
        <v>5</v>
      </c>
      <c r="B7" s="18">
        <v>45662</v>
      </c>
      <c r="C7" s="17" t="s">
        <v>56</v>
      </c>
      <c r="D7" s="19" t="s">
        <v>57</v>
      </c>
      <c r="E7" s="19" t="s">
        <v>58</v>
      </c>
      <c r="F7" s="20">
        <v>250</v>
      </c>
      <c r="G7" s="21">
        <v>55000</v>
      </c>
      <c r="H7" s="22">
        <f t="shared" si="0"/>
        <v>13750000</v>
      </c>
      <c r="I7" s="22">
        <f t="shared" si="1"/>
        <v>6875000</v>
      </c>
      <c r="J7" s="22">
        <f t="shared" si="2"/>
        <v>6875000</v>
      </c>
      <c r="K7" s="18">
        <v>45676</v>
      </c>
      <c r="L7" s="28" t="s">
        <v>48</v>
      </c>
      <c r="M7" s="19"/>
    </row>
    <row r="8" spans="1:13">
      <c r="A8" s="24">
        <v>6</v>
      </c>
      <c r="B8" s="25">
        <v>45663</v>
      </c>
      <c r="C8" s="24" t="s">
        <v>59</v>
      </c>
      <c r="D8" s="26" t="s">
        <v>42</v>
      </c>
      <c r="E8" s="26" t="s">
        <v>43</v>
      </c>
      <c r="F8" s="20">
        <v>300</v>
      </c>
      <c r="G8" s="21">
        <v>60000</v>
      </c>
      <c r="H8" s="27">
        <f t="shared" si="0"/>
        <v>18000000</v>
      </c>
      <c r="I8" s="27">
        <f t="shared" si="1"/>
        <v>18000000</v>
      </c>
      <c r="J8" s="27">
        <f t="shared" si="2"/>
        <v>0</v>
      </c>
      <c r="K8" s="24"/>
      <c r="L8" s="23" t="s">
        <v>44</v>
      </c>
      <c r="M8" s="26"/>
    </row>
    <row r="9" spans="1:13">
      <c r="A9" s="17">
        <v>7</v>
      </c>
      <c r="B9" s="18">
        <v>45664</v>
      </c>
      <c r="C9" s="17" t="s">
        <v>60</v>
      </c>
      <c r="D9" s="19" t="s">
        <v>46</v>
      </c>
      <c r="E9" s="19" t="s">
        <v>47</v>
      </c>
      <c r="F9" s="20">
        <v>350</v>
      </c>
      <c r="G9" s="21">
        <v>65000</v>
      </c>
      <c r="H9" s="22">
        <f t="shared" si="0"/>
        <v>22750000</v>
      </c>
      <c r="I9" s="22">
        <f t="shared" si="1"/>
        <v>11375000</v>
      </c>
      <c r="J9" s="22">
        <f t="shared" si="2"/>
        <v>11375000</v>
      </c>
      <c r="K9" s="18">
        <v>45678</v>
      </c>
      <c r="L9" s="28" t="s">
        <v>48</v>
      </c>
      <c r="M9" s="19"/>
    </row>
    <row r="10" spans="1:13">
      <c r="A10" s="24">
        <v>8</v>
      </c>
      <c r="B10" s="25">
        <v>45665</v>
      </c>
      <c r="C10" s="24" t="s">
        <v>61</v>
      </c>
      <c r="D10" s="26" t="s">
        <v>50</v>
      </c>
      <c r="E10" s="26" t="s">
        <v>51</v>
      </c>
      <c r="F10" s="20">
        <v>400</v>
      </c>
      <c r="G10" s="21">
        <v>70000</v>
      </c>
      <c r="H10" s="27">
        <f t="shared" si="0"/>
        <v>28000000</v>
      </c>
      <c r="I10" s="27">
        <f t="shared" si="1"/>
        <v>14000000</v>
      </c>
      <c r="J10" s="27">
        <f t="shared" si="2"/>
        <v>14000000</v>
      </c>
      <c r="K10" s="24"/>
      <c r="L10" s="29" t="s">
        <v>52</v>
      </c>
      <c r="M10" s="26"/>
    </row>
    <row r="11" spans="1:13">
      <c r="A11" s="17">
        <v>9</v>
      </c>
      <c r="B11" s="18">
        <v>45666</v>
      </c>
      <c r="C11" s="17" t="s">
        <v>62</v>
      </c>
      <c r="D11" s="19" t="s">
        <v>54</v>
      </c>
      <c r="E11" s="19" t="s">
        <v>55</v>
      </c>
      <c r="F11" s="20">
        <v>450</v>
      </c>
      <c r="G11" s="21">
        <v>75000</v>
      </c>
      <c r="H11" s="22">
        <f t="shared" si="0"/>
        <v>33750000</v>
      </c>
      <c r="I11" s="22">
        <f t="shared" si="1"/>
        <v>33750000</v>
      </c>
      <c r="J11" s="22">
        <f t="shared" si="2"/>
        <v>0</v>
      </c>
      <c r="K11" s="18">
        <v>45680</v>
      </c>
      <c r="L11" s="23" t="s">
        <v>44</v>
      </c>
      <c r="M11" s="19"/>
    </row>
    <row r="12" spans="1:13">
      <c r="A12" s="24">
        <v>10</v>
      </c>
      <c r="B12" s="25">
        <v>45667</v>
      </c>
      <c r="C12" s="24" t="s">
        <v>63</v>
      </c>
      <c r="D12" s="26" t="s">
        <v>57</v>
      </c>
      <c r="E12" s="26" t="s">
        <v>58</v>
      </c>
      <c r="F12" s="20">
        <v>500</v>
      </c>
      <c r="G12" s="21">
        <v>80000</v>
      </c>
      <c r="H12" s="27">
        <f t="shared" si="0"/>
        <v>40000000</v>
      </c>
      <c r="I12" s="27">
        <f t="shared" si="1"/>
        <v>20000000</v>
      </c>
      <c r="J12" s="27">
        <f t="shared" si="2"/>
        <v>20000000</v>
      </c>
      <c r="K12" s="24"/>
      <c r="L12" s="28" t="s">
        <v>48</v>
      </c>
      <c r="M12" s="26"/>
    </row>
    <row r="13" spans="1:13" ht="21.75" customHeight="1">
      <c r="A13" s="93" t="s">
        <v>64</v>
      </c>
      <c r="B13" s="93"/>
      <c r="C13" s="93"/>
      <c r="D13" s="93"/>
      <c r="E13" s="93"/>
      <c r="F13" s="30">
        <f>SUM(F3:F12)</f>
        <v>2750</v>
      </c>
      <c r="G13" s="30">
        <f>SUM(G3:G12)</f>
        <v>575000</v>
      </c>
      <c r="H13" s="30">
        <f>SUM(H3:H12)</f>
        <v>178750000</v>
      </c>
      <c r="I13" s="30">
        <f>SUM(I3:I12)</f>
        <v>121125000</v>
      </c>
      <c r="J13" s="30">
        <f>SUM(J3:J12)</f>
        <v>57625000</v>
      </c>
      <c r="K13" s="31"/>
      <c r="L13" s="31"/>
      <c r="M13" s="31"/>
    </row>
  </sheetData>
  <mergeCells count="2">
    <mergeCell ref="A1:M1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80B9"/>
  </sheetPr>
  <dimension ref="A1:I14"/>
  <sheetViews>
    <sheetView showGridLines="0" workbookViewId="0">
      <pane ySplit="2" topLeftCell="A3" activePane="bottomLeft" state="frozen"/>
      <selection pane="bottomLeft" activeCell="I12" sqref="I12"/>
    </sheetView>
  </sheetViews>
  <sheetFormatPr defaultColWidth="8.7109375" defaultRowHeight="15"/>
  <cols>
    <col min="1" max="1" width="5" customWidth="1"/>
    <col min="2" max="2" width="13" customWidth="1"/>
    <col min="3" max="3" width="35" customWidth="1"/>
    <col min="4" max="4" width="20" customWidth="1"/>
    <col min="5" max="5" width="18" customWidth="1"/>
    <col min="6" max="7" width="16" customWidth="1"/>
    <col min="8" max="9" width="18" customWidth="1"/>
  </cols>
  <sheetData>
    <row r="1" spans="1:9" ht="34.5" customHeight="1">
      <c r="A1" s="92" t="s">
        <v>65</v>
      </c>
      <c r="B1" s="92"/>
      <c r="C1" s="92"/>
      <c r="D1" s="92"/>
      <c r="E1" s="92"/>
      <c r="F1" s="92"/>
      <c r="G1" s="92"/>
      <c r="H1" s="92"/>
      <c r="I1" s="92"/>
    </row>
    <row r="2" spans="1:9">
      <c r="A2" s="94" t="s">
        <v>66</v>
      </c>
      <c r="B2" s="94"/>
      <c r="C2" s="94"/>
      <c r="D2" s="32" t="s">
        <v>67</v>
      </c>
      <c r="E2" s="33">
        <v>5000000</v>
      </c>
      <c r="F2" s="32" t="s">
        <v>68</v>
      </c>
      <c r="G2" s="33">
        <v>25000000</v>
      </c>
    </row>
    <row r="3" spans="1:9" ht="30" customHeight="1">
      <c r="A3" s="16" t="s">
        <v>28</v>
      </c>
      <c r="B3" s="16" t="s">
        <v>69</v>
      </c>
      <c r="C3" s="16" t="s">
        <v>40</v>
      </c>
      <c r="D3" s="16" t="s">
        <v>70</v>
      </c>
      <c r="E3" s="16" t="s">
        <v>71</v>
      </c>
      <c r="F3" s="16" t="s">
        <v>72</v>
      </c>
      <c r="G3" s="16" t="s">
        <v>73</v>
      </c>
      <c r="H3" s="16" t="s">
        <v>74</v>
      </c>
      <c r="I3" s="16" t="s">
        <v>75</v>
      </c>
    </row>
    <row r="4" spans="1:9">
      <c r="A4" s="24">
        <v>1</v>
      </c>
      <c r="B4" s="24" t="s">
        <v>76</v>
      </c>
      <c r="C4" s="26" t="s">
        <v>77</v>
      </c>
      <c r="D4" s="26" t="s">
        <v>77</v>
      </c>
      <c r="E4" s="24" t="s">
        <v>78</v>
      </c>
      <c r="F4" s="21">
        <v>30000000</v>
      </c>
      <c r="G4" s="27"/>
      <c r="H4" s="34">
        <f>E2+F4-G4</f>
        <v>35000000</v>
      </c>
      <c r="I4" s="35">
        <f>G2+SUM(F4:F4)-SUM(G4:G4)</f>
        <v>55000000</v>
      </c>
    </row>
    <row r="5" spans="1:9">
      <c r="A5" s="17">
        <v>2</v>
      </c>
      <c r="B5" s="17" t="s">
        <v>79</v>
      </c>
      <c r="C5" s="19" t="s">
        <v>80</v>
      </c>
      <c r="D5" s="19" t="s">
        <v>81</v>
      </c>
      <c r="E5" s="17" t="s">
        <v>82</v>
      </c>
      <c r="F5" s="21">
        <v>3500000</v>
      </c>
      <c r="G5" s="22"/>
      <c r="H5" s="34">
        <f t="shared" ref="H5:H13" si="0">H4+F5-G5</f>
        <v>38500000</v>
      </c>
      <c r="I5" s="35">
        <f>G2+SUM(F4:F5)-SUM(G4:G5)</f>
        <v>58500000</v>
      </c>
    </row>
    <row r="6" spans="1:9">
      <c r="A6" s="24">
        <v>3</v>
      </c>
      <c r="B6" s="24" t="s">
        <v>83</v>
      </c>
      <c r="C6" s="26" t="s">
        <v>84</v>
      </c>
      <c r="D6" s="26" t="s">
        <v>85</v>
      </c>
      <c r="E6" s="24" t="s">
        <v>86</v>
      </c>
      <c r="F6" s="27"/>
      <c r="G6" s="21">
        <v>2800000</v>
      </c>
      <c r="H6" s="34">
        <f t="shared" si="0"/>
        <v>35700000</v>
      </c>
      <c r="I6" s="35">
        <f>G2+SUM(F4:F6)-SUM(G4:G6)</f>
        <v>55700000</v>
      </c>
    </row>
    <row r="7" spans="1:9">
      <c r="A7" s="17">
        <v>4</v>
      </c>
      <c r="B7" s="17" t="s">
        <v>87</v>
      </c>
      <c r="C7" s="19" t="s">
        <v>88</v>
      </c>
      <c r="D7" s="19" t="s">
        <v>85</v>
      </c>
      <c r="E7" s="17" t="s">
        <v>89</v>
      </c>
      <c r="F7" s="22"/>
      <c r="G7" s="21">
        <v>450000</v>
      </c>
      <c r="H7" s="34">
        <f t="shared" si="0"/>
        <v>35250000</v>
      </c>
      <c r="I7" s="35">
        <f>G2+SUM(F4:F7)-SUM(G4:G7)</f>
        <v>55250000</v>
      </c>
    </row>
    <row r="8" spans="1:9">
      <c r="A8" s="24">
        <v>5</v>
      </c>
      <c r="B8" s="24" t="s">
        <v>90</v>
      </c>
      <c r="C8" s="26" t="s">
        <v>91</v>
      </c>
      <c r="D8" s="26" t="s">
        <v>92</v>
      </c>
      <c r="E8" s="24" t="s">
        <v>93</v>
      </c>
      <c r="F8" s="27"/>
      <c r="G8" s="21">
        <v>8000000</v>
      </c>
      <c r="H8" s="34">
        <f t="shared" si="0"/>
        <v>27250000</v>
      </c>
      <c r="I8" s="35">
        <f>G2+SUM(F4:F8)-SUM(G4:G8)</f>
        <v>47250000</v>
      </c>
    </row>
    <row r="9" spans="1:9">
      <c r="A9" s="17">
        <v>6</v>
      </c>
      <c r="B9" s="17" t="s">
        <v>94</v>
      </c>
      <c r="C9" s="19" t="s">
        <v>95</v>
      </c>
      <c r="D9" s="19" t="s">
        <v>96</v>
      </c>
      <c r="E9" s="17" t="s">
        <v>97</v>
      </c>
      <c r="F9" s="22"/>
      <c r="G9" s="21">
        <v>3000000</v>
      </c>
      <c r="H9" s="34">
        <f t="shared" si="0"/>
        <v>24250000</v>
      </c>
      <c r="I9" s="35">
        <f>G2+SUM(F4:F9)-SUM(G4:G9)</f>
        <v>44250000</v>
      </c>
    </row>
    <row r="10" spans="1:9">
      <c r="A10" s="24">
        <v>7</v>
      </c>
      <c r="B10" s="24" t="s">
        <v>98</v>
      </c>
      <c r="C10" s="26" t="s">
        <v>99</v>
      </c>
      <c r="D10" s="26" t="s">
        <v>81</v>
      </c>
      <c r="E10" s="24" t="s">
        <v>100</v>
      </c>
      <c r="F10" s="21">
        <v>5250000</v>
      </c>
      <c r="G10" s="27"/>
      <c r="H10" s="34">
        <f t="shared" si="0"/>
        <v>29500000</v>
      </c>
      <c r="I10" s="35">
        <f>G2+SUM(F4:F10)-SUM(G4:G10)</f>
        <v>49500000</v>
      </c>
    </row>
    <row r="11" spans="1:9">
      <c r="A11" s="17">
        <v>8</v>
      </c>
      <c r="B11" s="17" t="s">
        <v>101</v>
      </c>
      <c r="C11" s="19" t="s">
        <v>102</v>
      </c>
      <c r="D11" s="19" t="s">
        <v>103</v>
      </c>
      <c r="E11" s="17" t="s">
        <v>104</v>
      </c>
      <c r="F11" s="22"/>
      <c r="G11" s="21">
        <v>750000</v>
      </c>
      <c r="H11" s="34">
        <f t="shared" si="0"/>
        <v>28750000</v>
      </c>
      <c r="I11" s="35">
        <f>G2+SUM(F4:F11)-SUM(G4:G11)</f>
        <v>48750000</v>
      </c>
    </row>
    <row r="12" spans="1:9">
      <c r="A12" s="24">
        <v>9</v>
      </c>
      <c r="B12" s="24" t="s">
        <v>105</v>
      </c>
      <c r="C12" s="26" t="s">
        <v>106</v>
      </c>
      <c r="D12" s="26" t="s">
        <v>81</v>
      </c>
      <c r="E12" s="24" t="s">
        <v>107</v>
      </c>
      <c r="F12" s="21">
        <v>7000000</v>
      </c>
      <c r="G12" s="27"/>
      <c r="H12" s="34">
        <f t="shared" si="0"/>
        <v>35750000</v>
      </c>
      <c r="I12" s="35">
        <f>G2+SUM(F4:F12)-SUM(G4:G12)</f>
        <v>55750000</v>
      </c>
    </row>
    <row r="13" spans="1:9">
      <c r="A13" s="17">
        <v>10</v>
      </c>
      <c r="B13" s="17" t="s">
        <v>108</v>
      </c>
      <c r="C13" s="19" t="s">
        <v>109</v>
      </c>
      <c r="D13" s="19" t="s">
        <v>110</v>
      </c>
      <c r="E13" s="17" t="s">
        <v>111</v>
      </c>
      <c r="F13" s="22"/>
      <c r="G13" s="21">
        <v>1200000</v>
      </c>
      <c r="H13" s="34">
        <f t="shared" si="0"/>
        <v>34550000</v>
      </c>
      <c r="I13" s="35">
        <f>G2+SUM(F4:F13)-SUM(G4:G13)</f>
        <v>54550000</v>
      </c>
    </row>
    <row r="14" spans="1:9" ht="15.75">
      <c r="A14" s="93" t="s">
        <v>112</v>
      </c>
      <c r="B14" s="93"/>
      <c r="C14" s="93"/>
      <c r="D14" s="93"/>
      <c r="E14" s="93"/>
      <c r="F14" s="36">
        <f>SUM(F4:F13)</f>
        <v>45750000</v>
      </c>
      <c r="G14" s="36">
        <f>SUM(G4:G13)</f>
        <v>16200000</v>
      </c>
      <c r="H14" s="31"/>
      <c r="I14" s="31"/>
    </row>
  </sheetData>
  <mergeCells count="3">
    <mergeCell ref="A1:I1"/>
    <mergeCell ref="A2:C2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67E22"/>
  </sheetPr>
  <dimension ref="A1:K10"/>
  <sheetViews>
    <sheetView showGridLines="0" workbookViewId="0">
      <pane ySplit="2" topLeftCell="A3" activePane="bottomLeft" state="frozen"/>
      <selection pane="bottomLeft" sqref="A1:K1"/>
    </sheetView>
  </sheetViews>
  <sheetFormatPr defaultColWidth="8.7109375" defaultRowHeight="15"/>
  <cols>
    <col min="1" max="1" width="5" customWidth="1"/>
    <col min="2" max="2" width="12" customWidth="1"/>
    <col min="3" max="3" width="14" customWidth="1"/>
    <col min="4" max="4" width="22" customWidth="1"/>
    <col min="5" max="5" width="25" customWidth="1"/>
    <col min="6" max="7" width="10" customWidth="1"/>
    <col min="8" max="9" width="16" customWidth="1"/>
    <col min="10" max="11" width="14" customWidth="1"/>
  </cols>
  <sheetData>
    <row r="1" spans="1:11" ht="34.5" customHeight="1">
      <c r="A1" s="92" t="s">
        <v>113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39.75" customHeight="1">
      <c r="A2" s="16" t="s">
        <v>28</v>
      </c>
      <c r="B2" s="16" t="s">
        <v>69</v>
      </c>
      <c r="C2" s="16" t="s">
        <v>114</v>
      </c>
      <c r="D2" s="16" t="s">
        <v>115</v>
      </c>
      <c r="E2" s="16" t="s">
        <v>116</v>
      </c>
      <c r="F2" s="16" t="s">
        <v>117</v>
      </c>
      <c r="G2" s="16" t="s">
        <v>118</v>
      </c>
      <c r="H2" s="16" t="s">
        <v>34</v>
      </c>
      <c r="I2" s="16" t="s">
        <v>119</v>
      </c>
      <c r="J2" s="16" t="s">
        <v>120</v>
      </c>
      <c r="K2" s="16" t="s">
        <v>121</v>
      </c>
    </row>
    <row r="3" spans="1:11">
      <c r="A3" s="17">
        <v>1</v>
      </c>
      <c r="B3" s="17" t="s">
        <v>79</v>
      </c>
      <c r="C3" s="17" t="s">
        <v>86</v>
      </c>
      <c r="D3" s="19" t="s">
        <v>122</v>
      </c>
      <c r="E3" s="19" t="s">
        <v>123</v>
      </c>
      <c r="F3" s="20">
        <v>200</v>
      </c>
      <c r="G3" s="37" t="s">
        <v>124</v>
      </c>
      <c r="H3" s="21">
        <v>14000</v>
      </c>
      <c r="I3" s="22">
        <f t="shared" ref="I3:I9" si="0">F3*H3</f>
        <v>2800000</v>
      </c>
      <c r="J3" s="17"/>
      <c r="K3" s="38" t="s">
        <v>44</v>
      </c>
    </row>
    <row r="4" spans="1:11">
      <c r="A4" s="24">
        <v>2</v>
      </c>
      <c r="B4" s="24" t="s">
        <v>87</v>
      </c>
      <c r="C4" s="24" t="s">
        <v>89</v>
      </c>
      <c r="D4" s="26" t="s">
        <v>125</v>
      </c>
      <c r="E4" s="26" t="s">
        <v>126</v>
      </c>
      <c r="F4" s="20">
        <v>5</v>
      </c>
      <c r="G4" s="37" t="s">
        <v>127</v>
      </c>
      <c r="H4" s="21">
        <v>90000</v>
      </c>
      <c r="I4" s="27">
        <f t="shared" si="0"/>
        <v>450000</v>
      </c>
      <c r="J4" s="24"/>
      <c r="K4" s="38" t="s">
        <v>44</v>
      </c>
    </row>
    <row r="5" spans="1:11">
      <c r="A5" s="17">
        <v>3</v>
      </c>
      <c r="B5" s="17" t="s">
        <v>87</v>
      </c>
      <c r="C5" s="17" t="s">
        <v>89</v>
      </c>
      <c r="D5" s="19" t="s">
        <v>125</v>
      </c>
      <c r="E5" s="19" t="s">
        <v>128</v>
      </c>
      <c r="F5" s="20">
        <v>3</v>
      </c>
      <c r="G5" s="37" t="s">
        <v>127</v>
      </c>
      <c r="H5" s="21">
        <v>90000</v>
      </c>
      <c r="I5" s="22">
        <f t="shared" si="0"/>
        <v>270000</v>
      </c>
      <c r="J5" s="17"/>
      <c r="K5" s="38" t="s">
        <v>44</v>
      </c>
    </row>
    <row r="6" spans="1:11">
      <c r="A6" s="24">
        <v>4</v>
      </c>
      <c r="B6" s="24" t="s">
        <v>101</v>
      </c>
      <c r="C6" s="24" t="s">
        <v>111</v>
      </c>
      <c r="D6" s="26" t="s">
        <v>129</v>
      </c>
      <c r="E6" s="26" t="s">
        <v>130</v>
      </c>
      <c r="F6" s="20">
        <v>10</v>
      </c>
      <c r="G6" s="37" t="s">
        <v>124</v>
      </c>
      <c r="H6" s="21">
        <v>120000</v>
      </c>
      <c r="I6" s="27">
        <f t="shared" si="0"/>
        <v>1200000</v>
      </c>
      <c r="J6" s="39" t="s">
        <v>131</v>
      </c>
      <c r="K6" s="40" t="s">
        <v>132</v>
      </c>
    </row>
    <row r="7" spans="1:11">
      <c r="A7" s="17">
        <v>5</v>
      </c>
      <c r="B7" s="17" t="s">
        <v>108</v>
      </c>
      <c r="C7" s="17" t="s">
        <v>133</v>
      </c>
      <c r="D7" s="19" t="s">
        <v>122</v>
      </c>
      <c r="E7" s="19" t="s">
        <v>134</v>
      </c>
      <c r="F7" s="20">
        <v>100</v>
      </c>
      <c r="G7" s="37" t="s">
        <v>124</v>
      </c>
      <c r="H7" s="21">
        <v>35000</v>
      </c>
      <c r="I7" s="22">
        <f t="shared" si="0"/>
        <v>3500000</v>
      </c>
      <c r="J7" s="39" t="s">
        <v>131</v>
      </c>
      <c r="K7" s="40" t="s">
        <v>132</v>
      </c>
    </row>
    <row r="8" spans="1:11">
      <c r="A8" s="24">
        <v>6</v>
      </c>
      <c r="B8" s="24" t="s">
        <v>135</v>
      </c>
      <c r="C8" s="24" t="s">
        <v>136</v>
      </c>
      <c r="D8" s="26" t="s">
        <v>137</v>
      </c>
      <c r="E8" s="26" t="s">
        <v>138</v>
      </c>
      <c r="F8" s="20">
        <v>500</v>
      </c>
      <c r="G8" s="37" t="s">
        <v>124</v>
      </c>
      <c r="H8" s="21">
        <v>500</v>
      </c>
      <c r="I8" s="27">
        <f t="shared" si="0"/>
        <v>250000</v>
      </c>
      <c r="J8" s="24"/>
      <c r="K8" s="38" t="s">
        <v>44</v>
      </c>
    </row>
    <row r="9" spans="1:11">
      <c r="A9" s="17">
        <v>7</v>
      </c>
      <c r="B9" s="17" t="s">
        <v>139</v>
      </c>
      <c r="C9" s="17" t="s">
        <v>136</v>
      </c>
      <c r="D9" s="19" t="s">
        <v>137</v>
      </c>
      <c r="E9" s="19" t="s">
        <v>140</v>
      </c>
      <c r="F9" s="20">
        <v>1000</v>
      </c>
      <c r="G9" s="37" t="s">
        <v>124</v>
      </c>
      <c r="H9" s="21">
        <v>350</v>
      </c>
      <c r="I9" s="22">
        <f t="shared" si="0"/>
        <v>350000</v>
      </c>
      <c r="J9" s="17"/>
      <c r="K9" s="38" t="s">
        <v>44</v>
      </c>
    </row>
    <row r="10" spans="1:11" ht="15.75">
      <c r="A10" s="93" t="s">
        <v>141</v>
      </c>
      <c r="B10" s="93"/>
      <c r="C10" s="93"/>
      <c r="D10" s="93"/>
      <c r="E10" s="93"/>
      <c r="F10" s="93"/>
      <c r="G10" s="93"/>
      <c r="H10" s="93"/>
      <c r="I10" s="36">
        <f>SUM(I3:I9)</f>
        <v>8820000</v>
      </c>
      <c r="J10" s="31"/>
      <c r="K10" s="31"/>
    </row>
  </sheetData>
  <mergeCells count="2">
    <mergeCell ref="A1:K1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E44AD"/>
  </sheetPr>
  <dimension ref="A1:L8"/>
  <sheetViews>
    <sheetView showGridLines="0" workbookViewId="0">
      <pane ySplit="2" topLeftCell="A3" activePane="bottomLeft" state="frozen"/>
      <selection pane="bottomLeft" sqref="A1:L1"/>
    </sheetView>
  </sheetViews>
  <sheetFormatPr defaultColWidth="8.7109375" defaultRowHeight="15"/>
  <cols>
    <col min="1" max="1" width="5" customWidth="1"/>
    <col min="2" max="2" width="14" customWidth="1"/>
    <col min="3" max="3" width="25" customWidth="1"/>
    <col min="4" max="4" width="10" customWidth="1"/>
    <col min="5" max="9" width="16" customWidth="1"/>
    <col min="10" max="11" width="14" customWidth="1"/>
    <col min="12" max="12" width="10" customWidth="1"/>
  </cols>
  <sheetData>
    <row r="1" spans="1:12" ht="34.5" customHeight="1">
      <c r="A1" s="92" t="s">
        <v>142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39.75" customHeight="1">
      <c r="A2" s="16" t="s">
        <v>28</v>
      </c>
      <c r="B2" s="16" t="s">
        <v>30</v>
      </c>
      <c r="C2" s="16" t="s">
        <v>143</v>
      </c>
      <c r="D2" s="16" t="s">
        <v>144</v>
      </c>
      <c r="E2" s="16" t="s">
        <v>145</v>
      </c>
      <c r="F2" s="16" t="s">
        <v>146</v>
      </c>
      <c r="G2" s="16" t="s">
        <v>147</v>
      </c>
      <c r="H2" s="16" t="s">
        <v>148</v>
      </c>
      <c r="I2" s="16" t="s">
        <v>149</v>
      </c>
      <c r="J2" s="16" t="s">
        <v>150</v>
      </c>
      <c r="K2" s="16" t="s">
        <v>151</v>
      </c>
      <c r="L2" s="16" t="s">
        <v>152</v>
      </c>
    </row>
    <row r="3" spans="1:12">
      <c r="A3" s="17">
        <v>1</v>
      </c>
      <c r="B3" s="17" t="s">
        <v>82</v>
      </c>
      <c r="C3" s="19" t="s">
        <v>43</v>
      </c>
      <c r="D3" s="20">
        <v>100</v>
      </c>
      <c r="E3" s="21">
        <v>1400000</v>
      </c>
      <c r="F3" s="21">
        <v>200000</v>
      </c>
      <c r="G3" s="21">
        <v>500000</v>
      </c>
      <c r="H3" s="21">
        <v>150000</v>
      </c>
      <c r="I3" s="41">
        <f>E3+F3+G3+H3</f>
        <v>2250000</v>
      </c>
      <c r="J3" s="22">
        <f>IF(D3&gt;0,I3/D3,0)</f>
        <v>22500</v>
      </c>
      <c r="K3" s="21">
        <v>5000000</v>
      </c>
      <c r="L3" s="42">
        <f>IF(K3&gt;0,(K3-I3)/K3,0)</f>
        <v>0.55000000000000004</v>
      </c>
    </row>
    <row r="4" spans="1:12">
      <c r="A4" s="24">
        <v>2</v>
      </c>
      <c r="B4" s="24" t="s">
        <v>100</v>
      </c>
      <c r="C4" s="26" t="s">
        <v>153</v>
      </c>
      <c r="D4" s="20">
        <v>150</v>
      </c>
      <c r="E4" s="21">
        <v>2625000</v>
      </c>
      <c r="F4" s="21">
        <v>450000</v>
      </c>
      <c r="G4" s="21">
        <v>750000</v>
      </c>
      <c r="H4" s="21">
        <v>225000</v>
      </c>
      <c r="I4" s="41">
        <f>E4+F4+G4+H4</f>
        <v>4050000</v>
      </c>
      <c r="J4" s="27">
        <f>IF(D4&gt;0,I4/D4,0)</f>
        <v>27000</v>
      </c>
      <c r="K4" s="21">
        <v>9000000</v>
      </c>
      <c r="L4" s="42">
        <f>IF(K4&gt;0,(K4-I4)/K4,0)</f>
        <v>0.55000000000000004</v>
      </c>
    </row>
    <row r="5" spans="1:12">
      <c r="A5" s="17">
        <v>3</v>
      </c>
      <c r="B5" s="17" t="s">
        <v>107</v>
      </c>
      <c r="C5" s="19" t="s">
        <v>154</v>
      </c>
      <c r="D5" s="20">
        <v>200</v>
      </c>
      <c r="E5" s="21">
        <v>7000000</v>
      </c>
      <c r="F5" s="21">
        <v>0</v>
      </c>
      <c r="G5" s="21">
        <v>1200000</v>
      </c>
      <c r="H5" s="21">
        <v>350000</v>
      </c>
      <c r="I5" s="41">
        <f>E5+F5+G5+H5</f>
        <v>8550000</v>
      </c>
      <c r="J5" s="22">
        <f>IF(D5&gt;0,I5/D5,0)</f>
        <v>42750</v>
      </c>
      <c r="K5" s="21">
        <v>16000000</v>
      </c>
      <c r="L5" s="42">
        <f>IF(K5&gt;0,(K5-I5)/K5,0)</f>
        <v>0.46562500000000001</v>
      </c>
    </row>
    <row r="6" spans="1:12">
      <c r="A6" s="24">
        <v>4</v>
      </c>
      <c r="B6" s="24" t="s">
        <v>155</v>
      </c>
      <c r="C6" s="26" t="s">
        <v>156</v>
      </c>
      <c r="D6" s="20">
        <v>50</v>
      </c>
      <c r="E6" s="21">
        <v>700000</v>
      </c>
      <c r="F6" s="21">
        <v>150000</v>
      </c>
      <c r="G6" s="21">
        <v>250000</v>
      </c>
      <c r="H6" s="21">
        <v>75000</v>
      </c>
      <c r="I6" s="41">
        <f>E6+F6+G6+H6</f>
        <v>1175000</v>
      </c>
      <c r="J6" s="27">
        <f>IF(D6&gt;0,I6/D6,0)</f>
        <v>23500</v>
      </c>
      <c r="K6" s="21">
        <v>2500000</v>
      </c>
      <c r="L6" s="42">
        <f>IF(K6&gt;0,(K6-I6)/K6,0)</f>
        <v>0.53</v>
      </c>
    </row>
    <row r="7" spans="1:12">
      <c r="A7" s="17">
        <v>5</v>
      </c>
      <c r="B7" s="17" t="s">
        <v>157</v>
      </c>
      <c r="C7" s="19" t="s">
        <v>158</v>
      </c>
      <c r="D7" s="20">
        <v>300</v>
      </c>
      <c r="E7" s="21">
        <v>4200000</v>
      </c>
      <c r="F7" s="21">
        <v>600000</v>
      </c>
      <c r="G7" s="21">
        <v>1500000</v>
      </c>
      <c r="H7" s="21">
        <v>450000</v>
      </c>
      <c r="I7" s="41">
        <f>E7+F7+G7+H7</f>
        <v>6750000</v>
      </c>
      <c r="J7" s="22">
        <f>IF(D7&gt;0,I7/D7,0)</f>
        <v>22500</v>
      </c>
      <c r="K7" s="21">
        <v>18000000</v>
      </c>
      <c r="L7" s="42">
        <f>IF(K7&gt;0,(K7-I7)/K7,0)</f>
        <v>0.625</v>
      </c>
    </row>
    <row r="8" spans="1:12" ht="15.75">
      <c r="A8" s="93" t="s">
        <v>64</v>
      </c>
      <c r="B8" s="93"/>
      <c r="C8" s="93"/>
      <c r="D8" s="36">
        <f t="shared" ref="D8:I8" si="0">SUM(D3:D7)</f>
        <v>800</v>
      </c>
      <c r="E8" s="36">
        <f t="shared" si="0"/>
        <v>15925000</v>
      </c>
      <c r="F8" s="36">
        <f t="shared" si="0"/>
        <v>1400000</v>
      </c>
      <c r="G8" s="36">
        <f t="shared" si="0"/>
        <v>4200000</v>
      </c>
      <c r="H8" s="36">
        <f t="shared" si="0"/>
        <v>1250000</v>
      </c>
      <c r="I8" s="36">
        <f t="shared" si="0"/>
        <v>22775000</v>
      </c>
      <c r="J8" s="31"/>
      <c r="K8" s="36">
        <f>SUM(K3:K7)</f>
        <v>50500000</v>
      </c>
      <c r="L8" s="31"/>
    </row>
  </sheetData>
  <mergeCells count="2">
    <mergeCell ref="A1:L1"/>
    <mergeCell ref="A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74C3C"/>
  </sheetPr>
  <dimension ref="A1:I8"/>
  <sheetViews>
    <sheetView showGridLines="0" workbookViewId="0">
      <pane ySplit="2" topLeftCell="A3" activePane="bottomLeft" state="frozen"/>
      <selection pane="bottomLeft" sqref="A1:I1"/>
    </sheetView>
  </sheetViews>
  <sheetFormatPr defaultColWidth="8.7109375" defaultRowHeight="15"/>
  <cols>
    <col min="1" max="1" width="5" customWidth="1"/>
    <col min="2" max="2" width="25" customWidth="1"/>
    <col min="3" max="4" width="14" customWidth="1"/>
    <col min="5" max="7" width="18" customWidth="1"/>
    <col min="8" max="8" width="14" customWidth="1"/>
    <col min="9" max="9" width="22" customWidth="1"/>
  </cols>
  <sheetData>
    <row r="1" spans="1:9" ht="34.5" customHeight="1">
      <c r="A1" s="92" t="s">
        <v>159</v>
      </c>
      <c r="B1" s="92"/>
      <c r="C1" s="92"/>
      <c r="D1" s="92"/>
      <c r="E1" s="92"/>
      <c r="F1" s="92"/>
      <c r="G1" s="92"/>
      <c r="H1" s="92"/>
      <c r="I1" s="92"/>
    </row>
    <row r="2" spans="1:9" ht="39.75" customHeight="1">
      <c r="A2" s="16" t="s">
        <v>28</v>
      </c>
      <c r="B2" s="16" t="s">
        <v>31</v>
      </c>
      <c r="C2" s="16" t="s">
        <v>30</v>
      </c>
      <c r="D2" s="16" t="s">
        <v>160</v>
      </c>
      <c r="E2" s="16" t="s">
        <v>161</v>
      </c>
      <c r="F2" s="16" t="s">
        <v>162</v>
      </c>
      <c r="G2" s="16" t="s">
        <v>163</v>
      </c>
      <c r="H2" s="16" t="s">
        <v>120</v>
      </c>
      <c r="I2" s="16" t="s">
        <v>164</v>
      </c>
    </row>
    <row r="3" spans="1:9">
      <c r="A3" s="17">
        <v>1</v>
      </c>
      <c r="B3" s="19" t="s">
        <v>42</v>
      </c>
      <c r="C3" s="17" t="s">
        <v>82</v>
      </c>
      <c r="D3" s="17" t="s">
        <v>79</v>
      </c>
      <c r="E3" s="21">
        <v>5000000</v>
      </c>
      <c r="F3" s="21">
        <v>5000000</v>
      </c>
      <c r="G3" s="35">
        <f>E3-F3</f>
        <v>0</v>
      </c>
      <c r="H3" s="17" t="s">
        <v>139</v>
      </c>
      <c r="I3" s="38" t="s">
        <v>44</v>
      </c>
    </row>
    <row r="4" spans="1:9">
      <c r="A4" s="24">
        <v>2</v>
      </c>
      <c r="B4" s="26" t="s">
        <v>46</v>
      </c>
      <c r="C4" s="24" t="s">
        <v>100</v>
      </c>
      <c r="D4" s="24" t="s">
        <v>90</v>
      </c>
      <c r="E4" s="21">
        <v>10500000</v>
      </c>
      <c r="F4" s="21">
        <v>5250000</v>
      </c>
      <c r="G4" s="41">
        <f>E4-F4</f>
        <v>5250000</v>
      </c>
      <c r="H4" s="39" t="s">
        <v>165</v>
      </c>
      <c r="I4" s="40" t="s">
        <v>166</v>
      </c>
    </row>
    <row r="5" spans="1:9">
      <c r="A5" s="17">
        <v>3</v>
      </c>
      <c r="B5" s="19" t="s">
        <v>50</v>
      </c>
      <c r="C5" s="17" t="s">
        <v>107</v>
      </c>
      <c r="D5" s="17" t="s">
        <v>98</v>
      </c>
      <c r="E5" s="21">
        <v>16000000</v>
      </c>
      <c r="F5" s="21">
        <v>16000000</v>
      </c>
      <c r="G5" s="35">
        <f>E5-F5</f>
        <v>0</v>
      </c>
      <c r="H5" s="17" t="s">
        <v>167</v>
      </c>
      <c r="I5" s="38" t="s">
        <v>44</v>
      </c>
    </row>
    <row r="6" spans="1:9">
      <c r="A6" s="24">
        <v>4</v>
      </c>
      <c r="B6" s="26" t="s">
        <v>54</v>
      </c>
      <c r="C6" s="24" t="s">
        <v>155</v>
      </c>
      <c r="D6" s="24" t="s">
        <v>108</v>
      </c>
      <c r="E6" s="21">
        <v>2500000</v>
      </c>
      <c r="F6" s="21">
        <v>0</v>
      </c>
      <c r="G6" s="41">
        <f>E6-F6</f>
        <v>2500000</v>
      </c>
      <c r="H6" s="39" t="s">
        <v>168</v>
      </c>
      <c r="I6" s="43" t="s">
        <v>52</v>
      </c>
    </row>
    <row r="7" spans="1:9">
      <c r="A7" s="17">
        <v>5</v>
      </c>
      <c r="B7" s="19" t="s">
        <v>57</v>
      </c>
      <c r="C7" s="17" t="s">
        <v>157</v>
      </c>
      <c r="D7" s="17" t="s">
        <v>139</v>
      </c>
      <c r="E7" s="21">
        <v>18000000</v>
      </c>
      <c r="F7" s="21">
        <v>9000000</v>
      </c>
      <c r="G7" s="41">
        <f>E7-F7</f>
        <v>9000000</v>
      </c>
      <c r="H7" s="39" t="s">
        <v>131</v>
      </c>
      <c r="I7" s="40" t="s">
        <v>166</v>
      </c>
    </row>
    <row r="8" spans="1:9" ht="15.75">
      <c r="A8" s="93" t="s">
        <v>169</v>
      </c>
      <c r="B8" s="93"/>
      <c r="C8" s="93"/>
      <c r="D8" s="93"/>
      <c r="E8" s="36">
        <f>SUM(E3:E7)</f>
        <v>52000000</v>
      </c>
      <c r="F8" s="36">
        <f>SUM(F3:F7)</f>
        <v>35250000</v>
      </c>
      <c r="G8" s="36">
        <f>SUM(G3:G7)</f>
        <v>16750000</v>
      </c>
      <c r="H8" s="31"/>
      <c r="I8" s="31"/>
    </row>
  </sheetData>
  <mergeCells count="2">
    <mergeCell ref="A1:I1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35400"/>
  </sheetPr>
  <dimension ref="A1:I8"/>
  <sheetViews>
    <sheetView showGridLines="0" workbookViewId="0">
      <pane ySplit="2" topLeftCell="A3" activePane="bottomLeft" state="frozen"/>
      <selection pane="bottomLeft" sqref="A1:I1"/>
    </sheetView>
  </sheetViews>
  <sheetFormatPr defaultColWidth="8.7109375" defaultRowHeight="15"/>
  <cols>
    <col min="1" max="1" width="5" customWidth="1"/>
    <col min="2" max="2" width="25" customWidth="1"/>
    <col min="3" max="4" width="14" customWidth="1"/>
    <col min="5" max="7" width="18" customWidth="1"/>
    <col min="8" max="8" width="14" customWidth="1"/>
    <col min="9" max="9" width="16" customWidth="1"/>
  </cols>
  <sheetData>
    <row r="1" spans="1:9" ht="34.5" customHeight="1">
      <c r="A1" s="92" t="s">
        <v>170</v>
      </c>
      <c r="B1" s="92"/>
      <c r="C1" s="92"/>
      <c r="D1" s="92"/>
      <c r="E1" s="92"/>
      <c r="F1" s="92"/>
      <c r="G1" s="92"/>
      <c r="H1" s="92"/>
      <c r="I1" s="92"/>
    </row>
    <row r="2" spans="1:9" ht="39.75" customHeight="1">
      <c r="A2" s="16" t="s">
        <v>28</v>
      </c>
      <c r="B2" s="16" t="s">
        <v>115</v>
      </c>
      <c r="C2" s="16" t="s">
        <v>114</v>
      </c>
      <c r="D2" s="16" t="s">
        <v>171</v>
      </c>
      <c r="E2" s="16" t="s">
        <v>172</v>
      </c>
      <c r="F2" s="16" t="s">
        <v>173</v>
      </c>
      <c r="G2" s="16" t="s">
        <v>174</v>
      </c>
      <c r="H2" s="16" t="s">
        <v>120</v>
      </c>
      <c r="I2" s="16" t="s">
        <v>39</v>
      </c>
    </row>
    <row r="3" spans="1:9">
      <c r="A3" s="17">
        <v>1</v>
      </c>
      <c r="B3" s="19" t="s">
        <v>122</v>
      </c>
      <c r="C3" s="17" t="s">
        <v>86</v>
      </c>
      <c r="D3" s="17" t="s">
        <v>79</v>
      </c>
      <c r="E3" s="21">
        <v>2800000</v>
      </c>
      <c r="F3" s="21">
        <v>2800000</v>
      </c>
      <c r="G3" s="35">
        <f>E3-F3</f>
        <v>0</v>
      </c>
      <c r="H3" s="17" t="s">
        <v>175</v>
      </c>
      <c r="I3" s="38" t="s">
        <v>44</v>
      </c>
    </row>
    <row r="4" spans="1:9">
      <c r="A4" s="24">
        <v>2</v>
      </c>
      <c r="B4" s="26" t="s">
        <v>125</v>
      </c>
      <c r="C4" s="24" t="s">
        <v>89</v>
      </c>
      <c r="D4" s="24" t="s">
        <v>87</v>
      </c>
      <c r="E4" s="21">
        <v>720000</v>
      </c>
      <c r="F4" s="21">
        <v>720000</v>
      </c>
      <c r="G4" s="35">
        <f>E4-F4</f>
        <v>0</v>
      </c>
      <c r="H4" s="24" t="s">
        <v>176</v>
      </c>
      <c r="I4" s="38" t="s">
        <v>44</v>
      </c>
    </row>
    <row r="5" spans="1:9">
      <c r="A5" s="17">
        <v>3</v>
      </c>
      <c r="B5" s="19" t="s">
        <v>129</v>
      </c>
      <c r="C5" s="17" t="s">
        <v>111</v>
      </c>
      <c r="D5" s="17" t="s">
        <v>101</v>
      </c>
      <c r="E5" s="21">
        <v>1200000</v>
      </c>
      <c r="F5" s="21">
        <v>0</v>
      </c>
      <c r="G5" s="44">
        <f>E5-F5</f>
        <v>1200000</v>
      </c>
      <c r="H5" s="39" t="s">
        <v>177</v>
      </c>
      <c r="I5" s="43" t="s">
        <v>52</v>
      </c>
    </row>
    <row r="6" spans="1:9">
      <c r="A6" s="24">
        <v>4</v>
      </c>
      <c r="B6" s="26" t="s">
        <v>122</v>
      </c>
      <c r="C6" s="24" t="s">
        <v>133</v>
      </c>
      <c r="D6" s="24" t="s">
        <v>108</v>
      </c>
      <c r="E6" s="21">
        <v>3500000</v>
      </c>
      <c r="F6" s="21">
        <v>1750000</v>
      </c>
      <c r="G6" s="44">
        <f>E6-F6</f>
        <v>1750000</v>
      </c>
      <c r="H6" s="39" t="s">
        <v>178</v>
      </c>
      <c r="I6" s="40" t="s">
        <v>166</v>
      </c>
    </row>
    <row r="7" spans="1:9">
      <c r="A7" s="17">
        <v>5</v>
      </c>
      <c r="B7" s="19" t="s">
        <v>137</v>
      </c>
      <c r="C7" s="17" t="s">
        <v>136</v>
      </c>
      <c r="D7" s="17" t="s">
        <v>135</v>
      </c>
      <c r="E7" s="21">
        <v>600000</v>
      </c>
      <c r="F7" s="21">
        <v>600000</v>
      </c>
      <c r="G7" s="35">
        <f>E7-F7</f>
        <v>0</v>
      </c>
      <c r="H7" s="17" t="s">
        <v>179</v>
      </c>
      <c r="I7" s="38" t="s">
        <v>44</v>
      </c>
    </row>
    <row r="8" spans="1:9" ht="15.75">
      <c r="A8" s="93" t="s">
        <v>180</v>
      </c>
      <c r="B8" s="93"/>
      <c r="C8" s="93"/>
      <c r="D8" s="93"/>
      <c r="E8" s="36">
        <f>SUM(E3:E7)</f>
        <v>8820000</v>
      </c>
      <c r="F8" s="36">
        <f>SUM(F3:F7)</f>
        <v>5870000</v>
      </c>
      <c r="G8" s="36">
        <f>SUM(G3:G7)</f>
        <v>2950000</v>
      </c>
      <c r="H8" s="31"/>
      <c r="I8" s="31"/>
    </row>
  </sheetData>
  <mergeCells count="2">
    <mergeCell ref="A1:I1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A085"/>
  </sheetPr>
  <dimension ref="A1:G24"/>
  <sheetViews>
    <sheetView showGridLines="0" workbookViewId="0">
      <pane ySplit="2" topLeftCell="A3" activePane="bottomLeft" state="frozen"/>
      <selection pane="bottomLeft" sqref="A1:G1"/>
    </sheetView>
  </sheetViews>
  <sheetFormatPr defaultColWidth="8.7109375" defaultRowHeight="15"/>
  <cols>
    <col min="1" max="1" width="5" customWidth="1"/>
    <col min="2" max="2" width="13" customWidth="1"/>
    <col min="3" max="3" width="30" customWidth="1"/>
    <col min="4" max="4" width="22" customWidth="1"/>
    <col min="5" max="5" width="18" customWidth="1"/>
    <col min="6" max="6" width="16" customWidth="1"/>
    <col min="7" max="7" width="25" customWidth="1"/>
  </cols>
  <sheetData>
    <row r="1" spans="1:7" ht="34.5" customHeight="1">
      <c r="A1" s="92" t="s">
        <v>181</v>
      </c>
      <c r="B1" s="92"/>
      <c r="C1" s="92"/>
      <c r="D1" s="92"/>
      <c r="E1" s="92"/>
      <c r="F1" s="92"/>
      <c r="G1" s="92"/>
    </row>
    <row r="2" spans="1:7" ht="24.75" customHeight="1">
      <c r="A2" s="16" t="s">
        <v>28</v>
      </c>
      <c r="B2" s="16" t="s">
        <v>69</v>
      </c>
      <c r="C2" s="16" t="s">
        <v>40</v>
      </c>
      <c r="D2" s="16" t="s">
        <v>70</v>
      </c>
      <c r="E2" s="16" t="s">
        <v>182</v>
      </c>
      <c r="F2" s="16" t="s">
        <v>183</v>
      </c>
      <c r="G2" s="16" t="s">
        <v>40</v>
      </c>
    </row>
    <row r="3" spans="1:7">
      <c r="A3" s="45">
        <v>1</v>
      </c>
      <c r="B3" s="45" t="s">
        <v>90</v>
      </c>
      <c r="C3" s="32" t="s">
        <v>184</v>
      </c>
      <c r="D3" s="46" t="s">
        <v>185</v>
      </c>
      <c r="E3" s="21">
        <v>8000000</v>
      </c>
      <c r="F3" s="45" t="s">
        <v>186</v>
      </c>
      <c r="G3" s="32"/>
    </row>
    <row r="4" spans="1:7">
      <c r="A4" s="45">
        <v>2</v>
      </c>
      <c r="B4" s="45" t="s">
        <v>90</v>
      </c>
      <c r="C4" s="32" t="s">
        <v>187</v>
      </c>
      <c r="D4" s="46" t="s">
        <v>185</v>
      </c>
      <c r="E4" s="21">
        <v>4000000</v>
      </c>
      <c r="F4" s="45" t="s">
        <v>188</v>
      </c>
      <c r="G4" s="32"/>
    </row>
    <row r="5" spans="1:7">
      <c r="A5" s="47">
        <v>3</v>
      </c>
      <c r="B5" s="47" t="s">
        <v>108</v>
      </c>
      <c r="C5" s="48" t="s">
        <v>189</v>
      </c>
      <c r="D5" s="43" t="s">
        <v>96</v>
      </c>
      <c r="E5" s="21">
        <v>3000000</v>
      </c>
      <c r="F5" s="47" t="s">
        <v>190</v>
      </c>
      <c r="G5" s="48"/>
    </row>
    <row r="6" spans="1:7">
      <c r="A6" s="39">
        <v>4</v>
      </c>
      <c r="B6" s="39" t="s">
        <v>135</v>
      </c>
      <c r="C6" s="49" t="s">
        <v>191</v>
      </c>
      <c r="D6" s="40" t="s">
        <v>103</v>
      </c>
      <c r="E6" s="21">
        <v>650000</v>
      </c>
      <c r="F6" s="39" t="s">
        <v>192</v>
      </c>
      <c r="G6" s="49"/>
    </row>
    <row r="7" spans="1:7">
      <c r="A7" s="39">
        <v>5</v>
      </c>
      <c r="B7" s="39" t="s">
        <v>135</v>
      </c>
      <c r="C7" s="49" t="s">
        <v>193</v>
      </c>
      <c r="D7" s="40" t="s">
        <v>103</v>
      </c>
      <c r="E7" s="21">
        <v>100000</v>
      </c>
      <c r="F7" s="39" t="s">
        <v>194</v>
      </c>
      <c r="G7" s="49"/>
    </row>
    <row r="8" spans="1:7">
      <c r="A8" s="50">
        <v>6</v>
      </c>
      <c r="B8" s="50" t="s">
        <v>139</v>
      </c>
      <c r="C8" s="51" t="s">
        <v>195</v>
      </c>
      <c r="D8" s="52" t="s">
        <v>196</v>
      </c>
      <c r="E8" s="21">
        <v>500000</v>
      </c>
      <c r="F8" s="50" t="s">
        <v>197</v>
      </c>
      <c r="G8" s="51"/>
    </row>
    <row r="9" spans="1:7">
      <c r="A9" s="50">
        <v>7</v>
      </c>
      <c r="B9" s="50" t="s">
        <v>139</v>
      </c>
      <c r="C9" s="51" t="s">
        <v>198</v>
      </c>
      <c r="D9" s="52" t="s">
        <v>196</v>
      </c>
      <c r="E9" s="21">
        <v>250000</v>
      </c>
      <c r="F9" s="50" t="s">
        <v>199</v>
      </c>
      <c r="G9" s="51"/>
    </row>
    <row r="10" spans="1:7">
      <c r="A10" s="17">
        <v>8</v>
      </c>
      <c r="B10" s="17" t="s">
        <v>165</v>
      </c>
      <c r="C10" s="19" t="s">
        <v>200</v>
      </c>
      <c r="D10" s="53" t="s">
        <v>201</v>
      </c>
      <c r="E10" s="21">
        <v>200000</v>
      </c>
      <c r="F10" s="17" t="s">
        <v>202</v>
      </c>
      <c r="G10" s="19"/>
    </row>
    <row r="11" spans="1:7">
      <c r="A11" s="17">
        <v>9</v>
      </c>
      <c r="B11" s="17" t="s">
        <v>165</v>
      </c>
      <c r="C11" s="19" t="s">
        <v>203</v>
      </c>
      <c r="D11" s="53" t="s">
        <v>201</v>
      </c>
      <c r="E11" s="21">
        <v>50000</v>
      </c>
      <c r="F11" s="17" t="s">
        <v>204</v>
      </c>
      <c r="G11" s="19"/>
    </row>
    <row r="12" spans="1:7">
      <c r="A12" s="54">
        <v>10</v>
      </c>
      <c r="B12" s="54" t="s">
        <v>168</v>
      </c>
      <c r="C12" s="55" t="s">
        <v>205</v>
      </c>
      <c r="D12" s="38" t="s">
        <v>206</v>
      </c>
      <c r="E12" s="21">
        <v>350000</v>
      </c>
      <c r="F12" s="54" t="s">
        <v>207</v>
      </c>
      <c r="G12" s="55"/>
    </row>
    <row r="13" spans="1:7">
      <c r="A13" s="39">
        <v>11</v>
      </c>
      <c r="B13" s="39" t="s">
        <v>208</v>
      </c>
      <c r="C13" s="49" t="s">
        <v>209</v>
      </c>
      <c r="D13" s="40" t="s">
        <v>103</v>
      </c>
      <c r="E13" s="21">
        <v>400000</v>
      </c>
      <c r="F13" s="39" t="s">
        <v>210</v>
      </c>
      <c r="G13" s="49"/>
    </row>
    <row r="14" spans="1:7">
      <c r="A14" s="56">
        <v>12</v>
      </c>
      <c r="B14" s="56" t="s">
        <v>131</v>
      </c>
      <c r="C14" s="57" t="s">
        <v>211</v>
      </c>
      <c r="D14" s="58" t="s">
        <v>212</v>
      </c>
      <c r="E14" s="21">
        <v>600000</v>
      </c>
      <c r="F14" s="56" t="s">
        <v>213</v>
      </c>
      <c r="G14" s="57"/>
    </row>
    <row r="15" spans="1:7" ht="15.75">
      <c r="A15" s="93" t="s">
        <v>214</v>
      </c>
      <c r="B15" s="93"/>
      <c r="C15" s="93"/>
      <c r="D15" s="93"/>
      <c r="E15" s="36">
        <f>SUM(E3:E14)</f>
        <v>18100000</v>
      </c>
      <c r="F15" s="31"/>
      <c r="G15" s="31"/>
    </row>
    <row r="16" spans="1:7" ht="9.75" customHeight="1"/>
    <row r="17" spans="1:7">
      <c r="A17" s="94" t="s">
        <v>215</v>
      </c>
      <c r="B17" s="94"/>
      <c r="C17" s="94"/>
      <c r="D17" s="59" t="s">
        <v>216</v>
      </c>
      <c r="E17" s="59" t="s">
        <v>217</v>
      </c>
      <c r="F17" s="59"/>
      <c r="G17" s="59"/>
    </row>
    <row r="18" spans="1:7">
      <c r="A18" s="95" t="s">
        <v>185</v>
      </c>
      <c r="B18" s="95"/>
      <c r="C18" s="95"/>
      <c r="D18" s="34">
        <f>SUMIF(D3:D14,"Gaji &amp; Upah",E3:E14)</f>
        <v>12000000</v>
      </c>
      <c r="E18" s="60">
        <f>IF(E15&gt;0,D18/E15,0)</f>
        <v>0.66298342541436461</v>
      </c>
      <c r="F18" s="61"/>
      <c r="G18" s="61"/>
    </row>
    <row r="19" spans="1:7">
      <c r="A19" s="96" t="s">
        <v>96</v>
      </c>
      <c r="B19" s="96"/>
      <c r="C19" s="96"/>
      <c r="D19" s="41">
        <f>SUMIF(D3:D14,"Sewa",E3:E14)</f>
        <v>3000000</v>
      </c>
      <c r="E19" s="62">
        <f>IF(E15&gt;0,D19/E15,0)</f>
        <v>0.16574585635359115</v>
      </c>
      <c r="F19" s="63"/>
      <c r="G19" s="63"/>
    </row>
    <row r="20" spans="1:7">
      <c r="A20" s="97" t="s">
        <v>103</v>
      </c>
      <c r="B20" s="97"/>
      <c r="C20" s="97"/>
      <c r="D20" s="44">
        <f>SUMIF(D3:D14,"Utilitas",E3:E14)</f>
        <v>1150000</v>
      </c>
      <c r="E20" s="64">
        <f>IF(E15&gt;0,D20/E15,0)</f>
        <v>6.3535911602209949E-2</v>
      </c>
      <c r="F20" s="65"/>
      <c r="G20" s="65"/>
    </row>
    <row r="21" spans="1:7">
      <c r="A21" s="98" t="s">
        <v>196</v>
      </c>
      <c r="B21" s="98"/>
      <c r="C21" s="98"/>
      <c r="D21" s="66">
        <f>SUMIF(D3:D14,"Pemasaran",E3:E14)</f>
        <v>750000</v>
      </c>
      <c r="E21" s="67">
        <f>IF(E15&gt;0,D21/E15,0)</f>
        <v>4.1436464088397788E-2</v>
      </c>
      <c r="F21" s="68"/>
      <c r="G21" s="68"/>
    </row>
    <row r="22" spans="1:7">
      <c r="A22" s="99" t="s">
        <v>201</v>
      </c>
      <c r="B22" s="99"/>
      <c r="C22" s="99"/>
      <c r="D22" s="69">
        <f>SUMIF(D3:D14,"Administrasi",E3:E14)</f>
        <v>250000</v>
      </c>
      <c r="E22" s="70">
        <f>IF(E15&gt;0,D22/E15,0)</f>
        <v>1.3812154696132596E-2</v>
      </c>
      <c r="F22" s="71"/>
      <c r="G22" s="71"/>
    </row>
    <row r="23" spans="1:7">
      <c r="A23" s="100" t="s">
        <v>206</v>
      </c>
      <c r="B23" s="100"/>
      <c r="C23" s="100"/>
      <c r="D23" s="35">
        <f>SUMIF(D3:D14,"Pemeliharaan",E3:E14)</f>
        <v>350000</v>
      </c>
      <c r="E23" s="72">
        <f>IF(E15&gt;0,D23/E15,0)</f>
        <v>1.9337016574585635E-2</v>
      </c>
      <c r="F23" s="73"/>
      <c r="G23" s="73"/>
    </row>
    <row r="24" spans="1:7">
      <c r="A24" s="101" t="s">
        <v>212</v>
      </c>
      <c r="B24" s="101"/>
      <c r="C24" s="101"/>
      <c r="D24" s="74">
        <f>SUMIF(D3:D14,"Operasional",E3:E14)</f>
        <v>600000</v>
      </c>
      <c r="E24" s="75">
        <f>IF(E15&gt;0,D24/E15,0)</f>
        <v>3.3149171270718231E-2</v>
      </c>
      <c r="F24" s="76"/>
      <c r="G24" s="76"/>
    </row>
  </sheetData>
  <mergeCells count="10">
    <mergeCell ref="A20:C20"/>
    <mergeCell ref="A21:C21"/>
    <mergeCell ref="A22:C22"/>
    <mergeCell ref="A23:C23"/>
    <mergeCell ref="A24:C24"/>
    <mergeCell ref="A1:G1"/>
    <mergeCell ref="A15:D15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C3E50"/>
  </sheetPr>
  <dimension ref="A1:E28"/>
  <sheetViews>
    <sheetView showGridLines="0" workbookViewId="0">
      <pane ySplit="2" topLeftCell="A3" activePane="bottomLeft" state="frozen"/>
      <selection pane="bottomLeft" sqref="A1:E1"/>
    </sheetView>
  </sheetViews>
  <sheetFormatPr defaultColWidth="8.7109375" defaultRowHeight="15"/>
  <cols>
    <col min="1" max="1" width="35" customWidth="1"/>
    <col min="2" max="3" width="22" customWidth="1"/>
    <col min="4" max="5" width="18" customWidth="1"/>
  </cols>
  <sheetData>
    <row r="1" spans="1:5" ht="34.5" customHeight="1">
      <c r="A1" s="92" t="s">
        <v>218</v>
      </c>
      <c r="B1" s="92"/>
      <c r="C1" s="92"/>
      <c r="D1" s="92"/>
      <c r="E1" s="92"/>
    </row>
    <row r="2" spans="1:5">
      <c r="A2" s="94" t="s">
        <v>219</v>
      </c>
      <c r="B2" s="94"/>
      <c r="C2" s="94"/>
      <c r="D2" s="94"/>
      <c r="E2" s="94"/>
    </row>
    <row r="4" spans="1:5">
      <c r="A4" s="94" t="s">
        <v>220</v>
      </c>
      <c r="B4" s="94"/>
      <c r="C4" s="94"/>
      <c r="D4" s="94"/>
      <c r="E4" s="94"/>
    </row>
    <row r="5" spans="1:5">
      <c r="A5" s="19" t="s">
        <v>221</v>
      </c>
      <c r="B5" s="71"/>
      <c r="C5" s="71"/>
      <c r="D5" s="22">
        <f>'📈 Penjualan'!H13</f>
        <v>178750000</v>
      </c>
      <c r="E5" s="71"/>
    </row>
    <row r="6" spans="1:5">
      <c r="A6" s="19" t="s">
        <v>222</v>
      </c>
      <c r="B6" s="71"/>
      <c r="C6" s="71"/>
      <c r="D6" s="77">
        <v>0</v>
      </c>
      <c r="E6" s="71"/>
    </row>
    <row r="7" spans="1:5">
      <c r="A7" s="78" t="s">
        <v>223</v>
      </c>
      <c r="B7" s="61"/>
      <c r="C7" s="61"/>
      <c r="D7" s="34">
        <f>D5-D6</f>
        <v>178750000</v>
      </c>
      <c r="E7" s="61"/>
    </row>
    <row r="8" spans="1:5" ht="7.5" customHeight="1"/>
    <row r="9" spans="1:5">
      <c r="A9" s="94" t="s">
        <v>224</v>
      </c>
      <c r="B9" s="94"/>
      <c r="C9" s="94"/>
      <c r="D9" s="94"/>
      <c r="E9" s="94"/>
    </row>
    <row r="10" spans="1:5">
      <c r="A10" s="19" t="s">
        <v>225</v>
      </c>
      <c r="B10" s="71"/>
      <c r="C10" s="71"/>
      <c r="D10" s="22">
        <f>'⚙️ Produksi'!E8</f>
        <v>15925000</v>
      </c>
      <c r="E10" s="71"/>
    </row>
    <row r="11" spans="1:5">
      <c r="A11" s="19" t="s">
        <v>226</v>
      </c>
      <c r="B11" s="71"/>
      <c r="C11" s="71"/>
      <c r="D11" s="22">
        <f>'⚙️ Produksi'!F8</f>
        <v>1400000</v>
      </c>
      <c r="E11" s="71"/>
    </row>
    <row r="12" spans="1:5">
      <c r="A12" s="19" t="s">
        <v>227</v>
      </c>
      <c r="B12" s="71"/>
      <c r="C12" s="71"/>
      <c r="D12" s="22">
        <f>'⚙️ Produksi'!G8</f>
        <v>4200000</v>
      </c>
      <c r="E12" s="71"/>
    </row>
    <row r="13" spans="1:5">
      <c r="A13" s="19" t="s">
        <v>228</v>
      </c>
      <c r="B13" s="71"/>
      <c r="C13" s="71"/>
      <c r="D13" s="22">
        <f>'⚙️ Produksi'!H8</f>
        <v>1250000</v>
      </c>
      <c r="E13" s="71"/>
    </row>
    <row r="14" spans="1:5">
      <c r="A14" s="79" t="s">
        <v>229</v>
      </c>
      <c r="B14" s="63"/>
      <c r="C14" s="63"/>
      <c r="D14" s="41">
        <f>SUM(D10:D13)</f>
        <v>22775000</v>
      </c>
      <c r="E14" s="63"/>
    </row>
    <row r="15" spans="1:5" ht="7.5" customHeight="1"/>
    <row r="16" spans="1:5" ht="27.75" customHeight="1">
      <c r="A16" s="102" t="s">
        <v>230</v>
      </c>
      <c r="B16" s="102"/>
      <c r="C16" s="102"/>
      <c r="D16" s="80">
        <f>D7-D14</f>
        <v>155975000</v>
      </c>
      <c r="E16" s="81"/>
    </row>
    <row r="17" spans="1:5" ht="7.5" customHeight="1"/>
    <row r="18" spans="1:5">
      <c r="A18" s="94" t="s">
        <v>231</v>
      </c>
      <c r="B18" s="94"/>
      <c r="C18" s="94"/>
      <c r="D18" s="94"/>
      <c r="E18" s="94"/>
    </row>
    <row r="19" spans="1:5">
      <c r="A19" s="19" t="s">
        <v>232</v>
      </c>
      <c r="B19" s="71"/>
      <c r="C19" s="71"/>
      <c r="D19" s="22">
        <f>SUMIF('💼 Beban Operasional'!D3:D14,"Gaji &amp; Upah",'💼 Beban Operasional'!E3:E14)</f>
        <v>12000000</v>
      </c>
      <c r="E19" s="71"/>
    </row>
    <row r="20" spans="1:5">
      <c r="A20" s="19" t="s">
        <v>233</v>
      </c>
      <c r="B20" s="71"/>
      <c r="C20" s="71"/>
      <c r="D20" s="22">
        <f>SUMIF('💼 Beban Operasional'!D3:D14,"Sewa",'💼 Beban Operasional'!E3:E14)</f>
        <v>3000000</v>
      </c>
      <c r="E20" s="71"/>
    </row>
    <row r="21" spans="1:5">
      <c r="A21" s="19" t="s">
        <v>234</v>
      </c>
      <c r="B21" s="71"/>
      <c r="C21" s="71"/>
      <c r="D21" s="22">
        <f>SUMIF('💼 Beban Operasional'!D3:D14,"Utilitas",'💼 Beban Operasional'!E3:E14)</f>
        <v>1150000</v>
      </c>
      <c r="E21" s="71"/>
    </row>
    <row r="22" spans="1:5">
      <c r="A22" s="19" t="s">
        <v>235</v>
      </c>
      <c r="B22" s="71"/>
      <c r="C22" s="71"/>
      <c r="D22" s="22">
        <f>SUMIF('💼 Beban Operasional'!D3:D14,"Pemasaran",'💼 Beban Operasional'!E3:E14)</f>
        <v>750000</v>
      </c>
      <c r="E22" s="71"/>
    </row>
    <row r="23" spans="1:5">
      <c r="A23" s="19" t="s">
        <v>236</v>
      </c>
      <c r="B23" s="71"/>
      <c r="C23" s="71"/>
      <c r="D23" s="22">
        <f>SUMIF('💼 Beban Operasional'!D3:D14,"Administrasi",'💼 Beban Operasional'!E3:E14)</f>
        <v>250000</v>
      </c>
      <c r="E23" s="71"/>
    </row>
    <row r="24" spans="1:5">
      <c r="A24" s="19" t="s">
        <v>237</v>
      </c>
      <c r="B24" s="71"/>
      <c r="C24" s="71"/>
      <c r="D24" s="22">
        <f>SUMIF('💼 Beban Operasional'!D3:D14,"Pemeliharaan",'💼 Beban Operasional'!E3:E14)</f>
        <v>350000</v>
      </c>
      <c r="E24" s="71"/>
    </row>
    <row r="25" spans="1:5">
      <c r="A25" s="19" t="s">
        <v>238</v>
      </c>
      <c r="B25" s="71"/>
      <c r="C25" s="71"/>
      <c r="D25" s="22">
        <f>SUMIF('💼 Beban Operasional'!D3:D14,"Operasional",'💼 Beban Operasional'!E3:E14)</f>
        <v>600000</v>
      </c>
      <c r="E25" s="71"/>
    </row>
    <row r="26" spans="1:5">
      <c r="A26" s="82" t="s">
        <v>239</v>
      </c>
      <c r="B26" s="65"/>
      <c r="C26" s="65"/>
      <c r="D26" s="44">
        <f>'💼 Beban Operasional'!E15</f>
        <v>18100000</v>
      </c>
      <c r="E26" s="65"/>
    </row>
    <row r="27" spans="1:5" ht="7.5" customHeight="1"/>
    <row r="28" spans="1:5" ht="31.5" customHeight="1">
      <c r="A28" s="103" t="s">
        <v>240</v>
      </c>
      <c r="B28" s="103"/>
      <c r="C28" s="103"/>
      <c r="D28" s="83">
        <f>D16-D26</f>
        <v>137875000</v>
      </c>
      <c r="E28" s="84"/>
    </row>
  </sheetData>
  <mergeCells count="7">
    <mergeCell ref="A18:E18"/>
    <mergeCell ref="A28:C28"/>
    <mergeCell ref="A1:E1"/>
    <mergeCell ref="A2:E2"/>
    <mergeCell ref="A4:E4"/>
    <mergeCell ref="A9:E9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A5276"/>
  </sheetPr>
  <dimension ref="A1:F18"/>
  <sheetViews>
    <sheetView showGridLines="0" workbookViewId="0">
      <pane ySplit="2" topLeftCell="A3" activePane="bottomLeft" state="frozen"/>
      <selection pane="bottomLeft" sqref="A1:F1"/>
    </sheetView>
  </sheetViews>
  <sheetFormatPr defaultColWidth="8.7109375" defaultRowHeight="15"/>
  <cols>
    <col min="1" max="1" width="5" customWidth="1"/>
    <col min="2" max="2" width="35" customWidth="1"/>
    <col min="3" max="3" width="22" customWidth="1"/>
    <col min="4" max="4" width="5" customWidth="1"/>
    <col min="5" max="5" width="35" customWidth="1"/>
    <col min="6" max="6" width="22" customWidth="1"/>
  </cols>
  <sheetData>
    <row r="1" spans="1:6" ht="34.5" customHeight="1">
      <c r="A1" s="92" t="s">
        <v>241</v>
      </c>
      <c r="B1" s="92"/>
      <c r="C1" s="92"/>
      <c r="D1" s="92"/>
      <c r="E1" s="92"/>
      <c r="F1" s="92"/>
    </row>
    <row r="2" spans="1:6">
      <c r="A2" s="94" t="s">
        <v>242</v>
      </c>
      <c r="B2" s="94"/>
      <c r="C2" s="94"/>
      <c r="D2" s="94"/>
      <c r="E2" s="94"/>
      <c r="F2" s="94"/>
    </row>
    <row r="3" spans="1:6">
      <c r="A3" s="94" t="s">
        <v>243</v>
      </c>
      <c r="B3" s="94"/>
      <c r="C3" s="94"/>
      <c r="D3" s="94" t="s">
        <v>244</v>
      </c>
      <c r="E3" s="94"/>
      <c r="F3" s="94"/>
    </row>
    <row r="4" spans="1:6">
      <c r="A4" s="104" t="s">
        <v>245</v>
      </c>
      <c r="B4" s="104"/>
      <c r="C4" s="104"/>
      <c r="D4" s="105" t="s">
        <v>246</v>
      </c>
      <c r="E4" s="105"/>
      <c r="F4" s="105"/>
    </row>
    <row r="5" spans="1:6">
      <c r="A5" s="85" t="s">
        <v>247</v>
      </c>
      <c r="B5" s="32" t="s">
        <v>248</v>
      </c>
      <c r="C5" s="86">
        <f>'💰 Kas &amp; Bank'!E2</f>
        <v>5000000</v>
      </c>
      <c r="D5" s="85" t="s">
        <v>249</v>
      </c>
      <c r="E5" s="32" t="s">
        <v>250</v>
      </c>
      <c r="F5" s="86">
        <f>'🏢 Hutang Supplier'!G8</f>
        <v>2950000</v>
      </c>
    </row>
    <row r="6" spans="1:6">
      <c r="A6" s="85" t="s">
        <v>251</v>
      </c>
      <c r="B6" s="32" t="s">
        <v>252</v>
      </c>
      <c r="C6" s="86">
        <f>'💰 Kas &amp; Bank'!G2</f>
        <v>25000000</v>
      </c>
      <c r="D6" s="85" t="s">
        <v>253</v>
      </c>
      <c r="E6" s="32" t="s">
        <v>254</v>
      </c>
      <c r="F6" s="86">
        <f>'📈 Penjualan'!I13</f>
        <v>121125000</v>
      </c>
    </row>
    <row r="7" spans="1:6">
      <c r="A7" s="85" t="s">
        <v>255</v>
      </c>
      <c r="B7" s="32" t="s">
        <v>256</v>
      </c>
      <c r="C7" s="86">
        <f>'👥 Piutang Pelanggan'!G8</f>
        <v>16750000</v>
      </c>
      <c r="D7" s="85" t="s">
        <v>257</v>
      </c>
      <c r="E7" s="32" t="s">
        <v>258</v>
      </c>
      <c r="F7" s="21">
        <v>1500000</v>
      </c>
    </row>
    <row r="8" spans="1:6">
      <c r="A8" s="85" t="s">
        <v>259</v>
      </c>
      <c r="B8" s="32" t="s">
        <v>260</v>
      </c>
      <c r="C8" s="21">
        <v>8500000</v>
      </c>
      <c r="D8" s="85" t="s">
        <v>261</v>
      </c>
      <c r="E8" s="32" t="s">
        <v>262</v>
      </c>
      <c r="F8" s="21">
        <v>500000</v>
      </c>
    </row>
    <row r="9" spans="1:6">
      <c r="A9" s="85" t="s">
        <v>263</v>
      </c>
      <c r="B9" s="32" t="s">
        <v>264</v>
      </c>
      <c r="C9" s="21">
        <v>3200000</v>
      </c>
      <c r="D9" s="87"/>
      <c r="E9" s="87"/>
      <c r="F9" s="87"/>
    </row>
    <row r="10" spans="1:6" ht="21.75" customHeight="1">
      <c r="A10" s="61"/>
      <c r="B10" s="78" t="s">
        <v>265</v>
      </c>
      <c r="C10" s="34">
        <f>SUM(C5:C9)</f>
        <v>58450000</v>
      </c>
      <c r="D10" s="63"/>
      <c r="E10" s="79" t="s">
        <v>266</v>
      </c>
      <c r="F10" s="41">
        <f>SUM(F5:F8)</f>
        <v>126075000</v>
      </c>
    </row>
    <row r="11" spans="1:6" ht="7.5" customHeight="1"/>
    <row r="12" spans="1:6">
      <c r="A12" s="104" t="s">
        <v>267</v>
      </c>
      <c r="B12" s="104"/>
      <c r="C12" s="104"/>
      <c r="D12" s="106" t="s">
        <v>268</v>
      </c>
      <c r="E12" s="106"/>
      <c r="F12" s="106"/>
    </row>
    <row r="13" spans="1:6">
      <c r="A13" s="85" t="s">
        <v>269</v>
      </c>
      <c r="B13" s="32" t="s">
        <v>270</v>
      </c>
      <c r="C13" s="21">
        <v>45000000</v>
      </c>
      <c r="D13" s="85" t="s">
        <v>271</v>
      </c>
      <c r="E13" s="32" t="s">
        <v>272</v>
      </c>
      <c r="F13" s="21">
        <v>50000000</v>
      </c>
    </row>
    <row r="14" spans="1:6">
      <c r="A14" s="85" t="s">
        <v>273</v>
      </c>
      <c r="B14" s="32" t="s">
        <v>274</v>
      </c>
      <c r="C14" s="21">
        <v>-9000000</v>
      </c>
      <c r="D14" s="85" t="s">
        <v>275</v>
      </c>
      <c r="E14" s="32" t="s">
        <v>276</v>
      </c>
      <c r="F14" s="21">
        <v>15000000</v>
      </c>
    </row>
    <row r="15" spans="1:6">
      <c r="A15" s="85" t="s">
        <v>277</v>
      </c>
      <c r="B15" s="32" t="s">
        <v>278</v>
      </c>
      <c r="C15" s="21">
        <v>5000000</v>
      </c>
      <c r="D15" s="85" t="s">
        <v>279</v>
      </c>
      <c r="E15" s="32" t="s">
        <v>280</v>
      </c>
      <c r="F15" s="86">
        <f>'📋 Laporan Laba Rugi'!D23</f>
        <v>250000</v>
      </c>
    </row>
    <row r="16" spans="1:6">
      <c r="A16" s="61"/>
      <c r="B16" s="78" t="s">
        <v>281</v>
      </c>
      <c r="C16" s="34">
        <f>SUM(C13:C15)</f>
        <v>41000000</v>
      </c>
      <c r="D16" s="73"/>
      <c r="E16" s="88" t="s">
        <v>282</v>
      </c>
      <c r="F16" s="35">
        <f>SUM(F13:F15)</f>
        <v>65250000</v>
      </c>
    </row>
    <row r="17" spans="1:6" ht="12" customHeight="1"/>
    <row r="18" spans="1:6" ht="31.5" customHeight="1">
      <c r="A18" s="103" t="s">
        <v>283</v>
      </c>
      <c r="B18" s="103"/>
      <c r="C18" s="83">
        <f>C10+C16</f>
        <v>99450000</v>
      </c>
      <c r="D18" s="103" t="s">
        <v>284</v>
      </c>
      <c r="E18" s="103"/>
      <c r="F18" s="83">
        <f>F10+F16</f>
        <v>191325000</v>
      </c>
    </row>
  </sheetData>
  <mergeCells count="10">
    <mergeCell ref="A12:C12"/>
    <mergeCell ref="D12:F12"/>
    <mergeCell ref="A18:B18"/>
    <mergeCell ref="D18:E18"/>
    <mergeCell ref="A1:F1"/>
    <mergeCell ref="A2:F2"/>
    <mergeCell ref="A3:C3"/>
    <mergeCell ref="D3:F3"/>
    <mergeCell ref="A4:C4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Dashboard</vt:lpstr>
      <vt:lpstr>📈 Penjualan</vt:lpstr>
      <vt:lpstr>💰 Kas &amp; Bank</vt:lpstr>
      <vt:lpstr>📦 Pembelian Bahan</vt:lpstr>
      <vt:lpstr>⚙️ Produksi</vt:lpstr>
      <vt:lpstr>👥 Piutang Pelanggan</vt:lpstr>
      <vt:lpstr>🏢 Hutang Supplier</vt:lpstr>
      <vt:lpstr>💼 Beban Operasional</vt:lpstr>
      <vt:lpstr>📋 Laporan Laba Rugi</vt:lpstr>
      <vt:lpstr>🏦 Neraca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2026-05-28T13:18:07Z</dcterms:created>
  <dcterms:modified xsi:type="dcterms:W3CDTF">2026-05-28T13:19:50Z</dcterms:modified>
  <dc:language>en-US</dc:language>
</cp:coreProperties>
</file>